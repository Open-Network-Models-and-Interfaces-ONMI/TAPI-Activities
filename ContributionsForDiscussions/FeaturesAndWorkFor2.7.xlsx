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enacorp-my.sharepoint.com/personal/ndavis_ciena_com/Documents/Documents/WorkingDocuments/BluePlanet/ApiPo/Standards/TAPI/"/>
    </mc:Choice>
  </mc:AlternateContent>
  <xr:revisionPtr revIDLastSave="0" documentId="8_{4441A210-E269-46FE-83EF-6AAD39EC710C}" xr6:coauthVersionLast="47" xr6:coauthVersionMax="47" xr10:uidLastSave="{00000000-0000-0000-0000-000000000000}"/>
  <bookViews>
    <workbookView xWindow="-75" yWindow="-16320" windowWidth="29040" windowHeight="16440" xr2:uid="{D3A00CA8-A9E1-4151-B235-58AE6C28BCEE}"/>
  </bookViews>
  <sheets>
    <sheet name="Sheet1" sheetId="1" r:id="rId1"/>
    <sheet name="Sheet2" sheetId="2" r:id="rId2"/>
  </sheets>
  <definedNames>
    <definedName name="_xlnm._FilterDatabase" localSheetId="0" hidden="1">Sheet1!$A$1:$V$72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5" i="1"/>
  <c r="T23" i="1"/>
  <c r="T24" i="1"/>
  <c r="T26" i="1"/>
  <c r="T27" i="1"/>
  <c r="T28" i="1"/>
  <c r="T29" i="1"/>
  <c r="T30" i="1"/>
  <c r="T31" i="1"/>
  <c r="T32" i="1"/>
  <c r="T33" i="1"/>
  <c r="T34" i="1"/>
  <c r="T35" i="1"/>
  <c r="T36" i="1"/>
  <c r="T38" i="1"/>
  <c r="T37" i="1"/>
  <c r="T2" i="1"/>
  <c r="P6" i="1"/>
  <c r="P17" i="1"/>
  <c r="P29" i="1"/>
  <c r="P16" i="1"/>
  <c r="P5" i="1"/>
  <c r="P4" i="1"/>
  <c r="P28" i="1"/>
  <c r="P38" i="1"/>
  <c r="P72" i="1"/>
  <c r="P15" i="1"/>
  <c r="P3" i="1"/>
  <c r="P25" i="1"/>
  <c r="P71" i="1"/>
  <c r="P27" i="1"/>
  <c r="P19" i="1"/>
  <c r="P70" i="1"/>
  <c r="P69" i="1"/>
  <c r="P32" i="1"/>
  <c r="P68" i="1"/>
  <c r="P67" i="1"/>
  <c r="P66" i="1"/>
  <c r="P33" i="1"/>
  <c r="P37" i="1"/>
  <c r="P65" i="1"/>
  <c r="P64" i="1"/>
  <c r="P63" i="1"/>
  <c r="P62" i="1"/>
  <c r="P61" i="1"/>
  <c r="P24" i="1"/>
  <c r="P23" i="1"/>
  <c r="P60" i="1"/>
  <c r="P31" i="1"/>
  <c r="P59" i="1"/>
  <c r="P58" i="1"/>
  <c r="P57" i="1"/>
  <c r="P56" i="1"/>
  <c r="P11" i="1"/>
  <c r="P10" i="1"/>
  <c r="P55" i="1"/>
  <c r="P54" i="1"/>
  <c r="P53" i="1"/>
  <c r="P52" i="1"/>
  <c r="P30" i="1"/>
  <c r="P51" i="1"/>
  <c r="P50" i="1"/>
  <c r="P49" i="1"/>
  <c r="P48" i="1"/>
  <c r="P47" i="1"/>
  <c r="P34" i="1"/>
  <c r="P26" i="1"/>
  <c r="P46" i="1"/>
  <c r="P45" i="1"/>
  <c r="P2" i="1"/>
  <c r="P44" i="1"/>
  <c r="P22" i="1"/>
  <c r="P21" i="1"/>
  <c r="P43" i="1"/>
  <c r="P13" i="1"/>
  <c r="P9" i="1"/>
  <c r="P20" i="1"/>
  <c r="P8" i="1"/>
  <c r="P42" i="1"/>
  <c r="P12" i="1"/>
  <c r="P41" i="1"/>
  <c r="P40" i="1"/>
  <c r="P18" i="1"/>
  <c r="P39" i="1"/>
</calcChain>
</file>

<file path=xl/sharedStrings.xml><?xml version="1.0" encoding="utf-8"?>
<sst xmlns="http://schemas.openxmlformats.org/spreadsheetml/2006/main" count="370" uniqueCount="266">
  <si>
    <t>Feature</t>
  </si>
  <si>
    <t>Temporal model</t>
  </si>
  <si>
    <t>Connectivity Service and path computation service advancements (multiple alternatives, deep computations, rebalancing, including preparation for specific work beyond 2.7</t>
  </si>
  <si>
    <t>SIP/NEP capability model</t>
  </si>
  <si>
    <t>Expand on complex digital payload mappings (modular diagrams)</t>
  </si>
  <si>
    <t>Pluggable use cases (considering IETF work)</t>
  </si>
  <si>
    <t>More on 3R scenarios</t>
  </si>
  <si>
    <t>Align PM streaming with OAM model advancements</t>
  </si>
  <si>
    <t>Spotlight/snapshot stream</t>
  </si>
  <si>
    <t>Same value suppression stream</t>
  </si>
  <si>
    <t>Optical impairment alignment with IETF (compatibility issue needs to be handled)</t>
  </si>
  <si>
    <t>Power along a connection</t>
  </si>
  <si>
    <t>OAM review and refinement</t>
  </si>
  <si>
    <t>Config false issues and development of YANG profiling methods</t>
  </si>
  <si>
    <t>Remove all RPCs</t>
  </si>
  <si>
    <t>Improved documentation on POST and DELETE</t>
  </si>
  <si>
    <t>All properties conditional</t>
  </si>
  <si>
    <t>Security</t>
  </si>
  <si>
    <t>RIA improvements (monolith)</t>
  </si>
  <si>
    <t>Use case numbering elsewhere</t>
  </si>
  <si>
    <t>Multiple context</t>
  </si>
  <si>
    <t>Multi-band management extensions</t>
  </si>
  <si>
    <t>Correlation of events</t>
  </si>
  <si>
    <t>Description in YANG/UML not good in many places</t>
  </si>
  <si>
    <t>Lifecycle dependencies and aggregations</t>
  </si>
  <si>
    <t>Admin state for physical</t>
  </si>
  <si>
    <t>State propagation</t>
  </si>
  <si>
    <t>Use streaming strategy for notification reporting (existing issue)</t>
  </si>
  <si>
    <t>Manual switch operation</t>
  </si>
  <si>
    <t>Generalized task (from OAM job)</t>
  </si>
  <si>
    <t>Path computation/connectivity computation enhancements</t>
  </si>
  <si>
    <t>Spec model enhancements and development of spec language (with IETF)</t>
  </si>
  <si>
    <t>UNI modelling</t>
  </si>
  <si>
    <t>IETF Equipment assessment</t>
  </si>
  <si>
    <t>IETF Topology assessment</t>
  </si>
  <si>
    <t>Refinement of intent modelling</t>
  </si>
  <si>
    <t>Profiles and templates review and refinement</t>
  </si>
  <si>
    <t>Equipment intent</t>
  </si>
  <si>
    <t>Intent lifecycle and improvements to initialization values</t>
  </si>
  <si>
    <t>Linking intent and actual for presentation</t>
  </si>
  <si>
    <t>Requirements and use cases wrt compliance assessment</t>
  </si>
  <si>
    <t>Validate that the node-device relationship provides the opportunity for n:m.</t>
  </si>
  <si>
    <t>Modelling equipment removal when equipment is supporting services.</t>
  </si>
  <si>
    <t>Dealing with network growth, reconfiguration and equipment type transition</t>
  </si>
  <si>
    <t>Get Ethernet model from MEF</t>
  </si>
  <si>
    <t>Deprecation strategy</t>
  </si>
  <si>
    <t>Topology discovery… LLDP and TTI</t>
  </si>
  <si>
    <t>TAPI availability mechanism… GR</t>
  </si>
  <si>
    <t>Original order</t>
  </si>
  <si>
    <t>Priority
1= High</t>
  </si>
  <si>
    <t>Complexity Factor
1=Low</t>
  </si>
  <si>
    <t>Track = 0
Model=1
Info=2</t>
  </si>
  <si>
    <t>Low no. = good</t>
  </si>
  <si>
    <t>ND</t>
  </si>
  <si>
    <t>Allocated = 1
Not allocated = 5</t>
  </si>
  <si>
    <t>JS</t>
  </si>
  <si>
    <t>Issue</t>
  </si>
  <si>
    <t>#620</t>
  </si>
  <si>
    <t>ODU UUID missing in UC2b</t>
  </si>
  <si>
    <t>#611</t>
  </si>
  <si>
    <t>#607</t>
  </si>
  <si>
    <t>Correction to mandatory attributes</t>
  </si>
  <si>
    <t>#605</t>
  </si>
  <si>
    <t>Temperature should be a PM and not attribute</t>
  </si>
  <si>
    <t>Creation of interdomain links</t>
  </si>
  <si>
    <t>#600</t>
  </si>
  <si>
    <t>#601</t>
  </si>
  <si>
    <t>LLDP Snooping</t>
  </si>
  <si>
    <t>#599</t>
  </si>
  <si>
    <t>OTN Trail Trace</t>
  </si>
  <si>
    <t>#598</t>
  </si>
  <si>
    <t>#597</t>
  </si>
  <si>
    <t>Client and server uuid in connectivity service</t>
  </si>
  <si>
    <t>Monitoring task</t>
  </si>
  <si>
    <t>Where to report what (state should be separate stream/notification v delta stream/notification )</t>
  </si>
  <si>
    <t>Streaming and YANG push (considering IETF work)</t>
  </si>
  <si>
    <t>Proposal ready</t>
  </si>
  <si>
    <t>Validation</t>
  </si>
  <si>
    <t>Status</t>
  </si>
  <si>
    <t>Bug fix and strategy</t>
  </si>
  <si>
    <t>Discussion first</t>
  </si>
  <si>
    <t>Rough proposal in place for discussion</t>
  </si>
  <si>
    <t>IETF-TAPI model linkage (CEP/NEP to RFC8345 TP)</t>
  </si>
  <si>
    <t>Comment</t>
  </si>
  <si>
    <t>Both YANG and documentation</t>
  </si>
  <si>
    <t>May be no changes required</t>
  </si>
  <si>
    <t>Group (ND)</t>
  </si>
  <si>
    <t>Validation ++</t>
  </si>
  <si>
    <t>Was available for 2.5 but not implemented</t>
  </si>
  <si>
    <t>Both 547 and remainder of min/max value in YANG</t>
  </si>
  <si>
    <t>Significant history and complexity</t>
  </si>
  <si>
    <t>Work under way in IETF. May cause changes in 2.7.</t>
  </si>
  <si>
    <t>Work under way in IETF. Potential future change in TAPI.</t>
  </si>
  <si>
    <t>Proposed refinements in IETF. For discussion on future alignment.</t>
  </si>
  <si>
    <t>Provides an opportunity to derive current data (which is deprecated).</t>
  </si>
  <si>
    <t>May be no change in 2.7. Preparing the ground for beyond 2.7.</t>
  </si>
  <si>
    <t>May need to use any refinements to the approach in 2.7.</t>
  </si>
  <si>
    <t>Potential feature delivery in 2.7</t>
  </si>
  <si>
    <t>Expect to report on the challenges to TIP.</t>
  </si>
  <si>
    <t>Simple, but someone needs to do this</t>
  </si>
  <si>
    <t>Requires discussion and potential change</t>
  </si>
  <si>
    <t>Relatively simple, but requires someone to lead this</t>
  </si>
  <si>
    <t>Evaluation required</t>
  </si>
  <si>
    <t>Requires proposal</t>
  </si>
  <si>
    <t>BJ</t>
  </si>
  <si>
    <t>Duplicate of 57/58</t>
  </si>
  <si>
    <t>KK</t>
  </si>
  <si>
    <t>Compliance validation tooling</t>
  </si>
  <si>
    <t xml:space="preserve">Work starting in IETF. Aim for alignment beyoind 2.7. </t>
  </si>
  <si>
    <t>Work under way in IETF. Just for info. No change planned currently. Also look at -lite</t>
  </si>
  <si>
    <t xml:space="preserve">Need clarity on what is required where. </t>
  </si>
  <si>
    <t>Requires follow up wit TIP</t>
  </si>
  <si>
    <t>Who (&amp; complexity)
Yellow = low
Orange = high</t>
  </si>
  <si>
    <t>Duplicate of 18</t>
  </si>
  <si>
    <t>Duplicate of 2</t>
  </si>
  <si>
    <t>otcc2023.ND.001_BriefAnalysis-TapiIetfModelLinkage.pptx</t>
  </si>
  <si>
    <t>otcc2024.ND.002_SpotlightAndSnapshotStreams.pptx</t>
  </si>
  <si>
    <t>otcc2023.ND.007_BasicPhysicalIntent.zip</t>
  </si>
  <si>
    <t>otcc2020.ND.010_TAPI-ConnectivityServiceComputationService.pptx</t>
  </si>
  <si>
    <t>Urgency
1=most</t>
  </si>
  <si>
    <t>https://github.com/ietf-ccamp-wg/draft-ietf-ccamp-actn-poi-pluggable-usecases-gaps</t>
  </si>
  <si>
    <t xml:space="preserve">https://datatracker.ietf.org/doc/draft-ietf-nmop-terminology/ </t>
  </si>
  <si>
    <t>Problem management (IETF incident work)</t>
  </si>
  <si>
    <t>https://github.com/italobusi/actn-wdm-pluggable-modelling</t>
  </si>
  <si>
    <t>https://github.com/ietf-ivy-wg/network-inventory-yang</t>
  </si>
  <si>
    <t>https://github.com/Open-Network-Models-and-Interfaces-ONMI/TAPI-Activities/blob/main/ContributionsForDiscussions/onmi2025.ND.001-YangConfigStatements.pptx</t>
  </si>
  <si>
    <t>Attribute Type for Switch Control needs to be corrected to conditional</t>
  </si>
  <si>
    <t>#606</t>
  </si>
  <si>
    <t>#622</t>
  </si>
  <si>
    <t>Rel</t>
  </si>
  <si>
    <t>2.1.3</t>
  </si>
  <si>
    <t>2.7
2.1.3</t>
  </si>
  <si>
    <t>2.5
2.1.3</t>
  </si>
  <si>
    <t xml:space="preserve">String restrictions in earler releases conflict with INVENTORY_ID </t>
  </si>
  <si>
    <t>Add physical route to 2.1.3</t>
  </si>
  <si>
    <t>TIP request</t>
  </si>
  <si>
    <t>Process for applying fixes to previous releases and anouncing fixes</t>
  </si>
  <si>
    <t>#618</t>
  </si>
  <si>
    <t>2.1.3
2.5</t>
  </si>
  <si>
    <t>Protobuf file should be back propagated to 2.5</t>
  </si>
  <si>
    <t>#619</t>
  </si>
  <si>
    <t>Link creation and modification via a service</t>
  </si>
  <si>
    <t>#624</t>
  </si>
  <si>
    <t>Progress</t>
  </si>
  <si>
    <t>Draft YANG ready</t>
  </si>
  <si>
    <t>Sketch available</t>
  </si>
  <si>
    <t>?</t>
  </si>
  <si>
    <t>improved service/connection lifecycle</t>
  </si>
  <si>
    <t>#625</t>
  </si>
  <si>
    <t>DD</t>
  </si>
  <si>
    <t>#626</t>
  </si>
  <si>
    <t>#627</t>
  </si>
  <si>
    <t>#628</t>
  </si>
  <si>
    <t>#606
#605
#594</t>
  </si>
  <si>
    <t>Relationship between TAPI, IETF, OC and CMIS</t>
  </si>
  <si>
    <t>JS/ND</t>
  </si>
  <si>
    <t>JS interop testing and OIF comments</t>
  </si>
  <si>
    <t>#629</t>
  </si>
  <si>
    <t>ND/RC/RJ</t>
  </si>
  <si>
    <r>
      <rPr>
        <sz val="11"/>
        <color rgb="FFFF0000"/>
        <rFont val="Aptos Narrow"/>
        <family val="2"/>
        <scheme val="minor"/>
      </rPr>
      <t>Specific work on multiple service request.</t>
    </r>
    <r>
      <rPr>
        <sz val="11"/>
        <color theme="1"/>
        <rFont val="Aptos Narrow"/>
        <family val="2"/>
        <scheme val="minor"/>
      </rPr>
      <t xml:space="preserve">
This is unlikely to deliver significant feature content in 2.7 but is necessary ground work for beyond 2.7.</t>
    </r>
  </si>
  <si>
    <t>Change to approach (and potential compatibility issue)
Discussion underway. Will report back on calls.</t>
  </si>
  <si>
    <t>TAPI Notification API Clarificaton</t>
  </si>
  <si>
    <t>#631</t>
  </si>
  <si>
    <t>Needs prioritization</t>
  </si>
  <si>
    <t>Event Object Notification attribute target-object-dri to be classified as conditional attribute</t>
  </si>
  <si>
    <t>2.5
2.6
2.7</t>
  </si>
  <si>
    <t>#632</t>
  </si>
  <si>
    <t>Expected to be OK. Confirmed.</t>
  </si>
  <si>
    <t>Completed</t>
  </si>
  <si>
    <t>#633</t>
  </si>
  <si>
    <t>#634</t>
  </si>
  <si>
    <t>#635</t>
  </si>
  <si>
    <t>Related docs</t>
  </si>
  <si>
    <t>TIP MUST Priority</t>
  </si>
  <si>
    <t>MUST 1,2,3</t>
  </si>
  <si>
    <t>TIP MUST Comments</t>
  </si>
  <si>
    <t>Delta</t>
  </si>
  <si>
    <t>Operators' Priorities: (5: Low); (3: Medium); (1: Mandatory)</t>
  </si>
  <si>
    <t>Roadmap item requiring more discussions</t>
  </si>
  <si>
    <t>There is a work item buried under this that needs to be pulled out separately and moved to priority 1. The overal work item can be moved to priority 2</t>
  </si>
  <si>
    <t>Path computation use cases are draft.
Clarify definition of Path.</t>
  </si>
  <si>
    <t>Key for operators to have full support of ZR/ZR+ pluggable E2E SDN management in a multi-vendor environment</t>
  </si>
  <si>
    <t>BUT is dependent on IETF. May be part in 2.7 and part beyond.</t>
  </si>
  <si>
    <t>How does TAPI relate to the pluggables.
Assume that the optical controller has read access to the transponders.
Need to show how a router with coherent transceivers is represented in TAPI and how the Orchestrator absorbs this.</t>
  </si>
  <si>
    <t>This is underway</t>
  </si>
  <si>
    <t>This is future</t>
  </si>
  <si>
    <t>This is reasonable (but then the protobuf file should be backported).</t>
  </si>
  <si>
    <t xml:space="preserve">Important to expose in a standard way in NBI some specific power measurement values at Add/Drop Rx/Tx? </t>
  </si>
  <si>
    <t>Can add this. It is significant work, but achaievable.</t>
  </si>
  <si>
    <t>What is really missing today in the T-API vs IETF? Perhaps Esther knows?</t>
  </si>
  <si>
    <t>This is a validation task</t>
  </si>
  <si>
    <t>interesting for future use cases</t>
  </si>
  <si>
    <t>More a RIA consistency /cleaning regarding Mandatory/Optional/Condicional attributes</t>
  </si>
  <si>
    <t>We can do this in background</t>
  </si>
  <si>
    <t>scope unclear. No issues opened in Github</t>
  </si>
  <si>
    <t>I suspect this will be elevated!</t>
  </si>
  <si>
    <t>Difference in gNMI between on-change and sample</t>
  </si>
  <si>
    <t>Could do this in background and prepare. Unlikely to be in 2.7.</t>
  </si>
  <si>
    <t>Need to clarify this work.</t>
  </si>
  <si>
    <t>As in TIP T-APIv2.1 TRD consolidating everything towards a single streaming strategy also for notifications</t>
  </si>
  <si>
    <t>This is reasonable, but is significant work</t>
  </si>
  <si>
    <t>Reverse should be true as well from T-API to IETF. Backward compatibility is key for operators with T-API</t>
  </si>
  <si>
    <t>Related with the testing framework. Separate workstream</t>
  </si>
  <si>
    <t>Done</t>
  </si>
  <si>
    <t>More a RIA update/cleaning issue</t>
  </si>
  <si>
    <t>This is background</t>
  </si>
  <si>
    <t>This is minor work and can be done</t>
  </si>
  <si>
    <t>This is a fix to an incorrect approach.</t>
  </si>
  <si>
    <t>Key for a standard implementation to expose LLDP key parameters (Chassis-ID, port-ID) intercepted by transponders/muxponders supporting LLDP snooping.</t>
  </si>
  <si>
    <t>Improvement for UC 0d (multi-domain OTN interdomain links discovery using OTN TTI. For supporting more G709 fields then just SAPI/DAPI which have a length limitation. Eg. Operator field could be supported to remove that limitation</t>
  </si>
  <si>
    <t>More a RIA update issue</t>
  </si>
  <si>
    <t>Remove unnecessary string restrictions in INVENTORY_ID for use cases 4a/4b</t>
  </si>
  <si>
    <t>Not required by VF but understand other TIP operators would like to have it in T-APIv2.1.4.</t>
  </si>
  <si>
    <t>This is a T-APIV2.5 fix to allow the use of protobuf file for applying fixes as it is done in T-APIv2.6</t>
  </si>
  <si>
    <t>We need this to operate. It is not a feature.</t>
  </si>
  <si>
    <t>Same as above and done now in T-APIv2.5 as in T-APIv2.6</t>
  </si>
  <si>
    <t>This is straight forward and has major benefits</t>
  </si>
  <si>
    <t>See presentation from Nigel Davis.</t>
  </si>
  <si>
    <t xml:space="preserve">Different behaviours between Vendors in their implementations regarding service/connection LCM. Important to be fixed for higher interoperability </t>
  </si>
  <si>
    <t>Needs significant work</t>
  </si>
  <si>
    <t>Key to align between all organisations to allow E2E SDN management of ZR(+) pluggables in the router over OLS in a multi-vendor environment</t>
  </si>
  <si>
    <t>This is a coordination activity. There is an initiative in OIF that we could join with formally.</t>
  </si>
  <si>
    <t>Application descriptors etc. 
Proprietary properties</t>
  </si>
  <si>
    <t>ND/RC</t>
  </si>
  <si>
    <t>#637</t>
  </si>
  <si>
    <t>#638</t>
  </si>
  <si>
    <t>#639</t>
  </si>
  <si>
    <t>#640</t>
  </si>
  <si>
    <t>#641</t>
  </si>
  <si>
    <t>#643</t>
  </si>
  <si>
    <t>#642</t>
  </si>
  <si>
    <t>#644</t>
  </si>
  <si>
    <t>Relatively simple. 
Brian needs to scope and provide timeline.</t>
  </si>
  <si>
    <t>Next steps</t>
  </si>
  <si>
    <t>BJ: Scope and timelines.</t>
  </si>
  <si>
    <t>Solution identified.</t>
  </si>
  <si>
    <t>Nigel to proceed with work item to make corrections to the YANG.</t>
  </si>
  <si>
    <t>Action is clear.</t>
  </si>
  <si>
    <t>Need to clone TR-547 for 2.5 and 2.1.3 and make string adjustments as per 2.6. This will need to be an update to the whole document, not an augment as it is a error spread throughout.</t>
  </si>
  <si>
    <t>AM to identify Use Case changes</t>
  </si>
  <si>
    <t>ND/AM</t>
  </si>
  <si>
    <t>Proposal required</t>
  </si>
  <si>
    <t>DD to propose text enhancements to RIA and any changes to YANG and/or interactions necessary to support GR.</t>
  </si>
  <si>
    <t>DD has presented essence of proposal</t>
  </si>
  <si>
    <t>ND discussed with Italo Busi</t>
  </si>
  <si>
    <t>ND to review models.</t>
  </si>
  <si>
    <t>ND to prepare contribution.</t>
  </si>
  <si>
    <t xml:space="preserve">Rcand ND discussed. Concluded that the issues is actually with respect to the hybrid approach of Notification. </t>
  </si>
  <si>
    <t>ND to present brief contribution.</t>
  </si>
  <si>
    <t>Dependent upon IETF work.</t>
  </si>
  <si>
    <t>Coordination</t>
  </si>
  <si>
    <t>ND: Contribution required</t>
  </si>
  <si>
    <t>ND/RC: Track IETF work and extract insights as the occur.</t>
  </si>
  <si>
    <t>ND: Make specific proposal in YANG.
ND: Consider proposal for IETF model augment.</t>
  </si>
  <si>
    <t>JS/ND: Connect with IETF, OC and OIF CMIS</t>
  </si>
  <si>
    <t>ND to propose process…. Organic as we do work on the other issues.</t>
  </si>
  <si>
    <t>ND: Formal proposal required</t>
  </si>
  <si>
    <t>ND: Further detail opportunities</t>
  </si>
  <si>
    <t>KK to propose change</t>
  </si>
  <si>
    <t>Future</t>
  </si>
  <si>
    <t>ND: Track IETF work and extract insights as the occur.</t>
  </si>
  <si>
    <t>ND: Add protobuf file to 2.5.x and document.</t>
  </si>
  <si>
    <t>ND to adjust TR-547</t>
  </si>
  <si>
    <t>Review all properties</t>
  </si>
  <si>
    <t>Propsal required.</t>
  </si>
  <si>
    <t>Requires more detail.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</si>
</sst>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trike/>
      <sz val="11"/>
      <color theme="1"/>
      <name val="Aptos"/>
      <family val="2"/>
    </font>
    <font>
      <strike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5" tint="0.3999450666829432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3" borderId="0" xfId="0" applyFill="1" applyAlignment="1">
      <alignment wrapText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1" applyAlignment="1">
      <alignment wrapText="1"/>
    </xf>
    <xf numFmtId="0" fontId="6" fillId="0" borderId="0" xfId="1" applyFill="1" applyAlignment="1">
      <alignment wrapText="1"/>
    </xf>
    <xf numFmtId="0" fontId="0" fillId="4" borderId="0" xfId="0" applyFill="1" applyAlignment="1">
      <alignment wrapText="1"/>
    </xf>
    <xf numFmtId="0" fontId="1" fillId="4" borderId="0" xfId="0" applyFont="1" applyFill="1" applyAlignment="1">
      <alignment horizontal="left" vertical="center" wrapText="1"/>
    </xf>
    <xf numFmtId="0" fontId="0" fillId="5" borderId="0" xfId="0" applyFill="1" applyAlignment="1">
      <alignment wrapText="1"/>
    </xf>
    <xf numFmtId="0" fontId="1" fillId="5" borderId="0" xfId="0" applyFont="1" applyFill="1" applyAlignment="1">
      <alignment horizontal="left" vertical="center" wrapText="1"/>
    </xf>
    <xf numFmtId="0" fontId="8" fillId="5" borderId="1" xfId="0" applyFont="1" applyFill="1" applyBorder="1" applyAlignment="1">
      <alignment wrapText="1"/>
    </xf>
    <xf numFmtId="0" fontId="10" fillId="6" borderId="2" xfId="0" applyFont="1" applyFill="1" applyBorder="1"/>
    <xf numFmtId="0" fontId="0" fillId="0" borderId="1" xfId="0" applyBorder="1" applyAlignment="1">
      <alignment wrapText="1"/>
    </xf>
    <xf numFmtId="0" fontId="0" fillId="7" borderId="0" xfId="0" applyFill="1" applyAlignment="1">
      <alignment wrapText="1"/>
    </xf>
    <xf numFmtId="0" fontId="9" fillId="8" borderId="1" xfId="0" applyFont="1" applyFill="1" applyBorder="1" applyAlignment="1">
      <alignment horizontal="center" vertical="center" wrapText="1"/>
    </xf>
    <xf numFmtId="0" fontId="0" fillId="9" borderId="0" xfId="0" applyFill="1" applyAlignment="1">
      <alignment wrapText="1"/>
    </xf>
    <xf numFmtId="0" fontId="0" fillId="2" borderId="1" xfId="0" applyFill="1" applyBorder="1" applyAlignment="1">
      <alignment wrapText="1"/>
    </xf>
    <xf numFmtId="0" fontId="5" fillId="7" borderId="0" xfId="0" applyFont="1" applyFill="1" applyAlignment="1">
      <alignment wrapText="1"/>
    </xf>
    <xf numFmtId="0" fontId="9" fillId="8" borderId="1" xfId="0" applyFont="1" applyFill="1" applyBorder="1" applyAlignment="1">
      <alignment wrapText="1"/>
    </xf>
    <xf numFmtId="0" fontId="0" fillId="10" borderId="0" xfId="0" applyFill="1" applyAlignment="1">
      <alignment wrapText="1"/>
    </xf>
    <xf numFmtId="0" fontId="0" fillId="11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3">
    <dxf>
      <fill>
        <patternFill>
          <bgColor rgb="FF99FF99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etf-ivy-wg/network-inventory-yang" TargetMode="External"/><Relationship Id="rId3" Type="http://schemas.openxmlformats.org/officeDocument/2006/relationships/hyperlink" Target="https://github.com/Open-Network-Models-and-Interfaces-ONMI/TAPI-Activities/blob/main/ContributionsForDiscussions/otcc2023.ND.007_BasicPhysicalIntent.zip" TargetMode="External"/><Relationship Id="rId7" Type="http://schemas.openxmlformats.org/officeDocument/2006/relationships/hyperlink" Target="https://github.com/italobusi/actn-wdm-pluggable-modelling" TargetMode="External"/><Relationship Id="rId2" Type="http://schemas.openxmlformats.org/officeDocument/2006/relationships/hyperlink" Target="https://github.com/Open-Network-Models-and-Interfaces-ONMI/TAPI-Activities/blob/main/ContributionsForDiscussions/otcc2024.ND.002_SpotlightAndSnapshotStreams.pptx" TargetMode="External"/><Relationship Id="rId1" Type="http://schemas.openxmlformats.org/officeDocument/2006/relationships/hyperlink" Target="https://github.com/Open-Network-Models-and-Interfaces-ONMI/TAPI-Activities/blob/main/ContributionsForDiscussions/otcc2023.ND.001_BriefAnalysis-TapiIetfModelLinkage.pptx" TargetMode="External"/><Relationship Id="rId6" Type="http://schemas.openxmlformats.org/officeDocument/2006/relationships/hyperlink" Target="https://datatracker.ietf.org/doc/draft-ietf-nmop-terminology/" TargetMode="External"/><Relationship Id="rId5" Type="http://schemas.openxmlformats.org/officeDocument/2006/relationships/hyperlink" Target="https://github.com/ietf-ccamp-wg/draft-ietf-ccamp-actn-poi-pluggable-usecases-gaps" TargetMode="External"/><Relationship Id="rId4" Type="http://schemas.openxmlformats.org/officeDocument/2006/relationships/hyperlink" Target="https://github.com/Open-Network-Models-and-Interfaces-ONMI/TAPI-Activities/blob/main/ContributionsForDiscussions/otcc2020.ND.010_TAPI-ConnectivityServiceComputationService.pptx" TargetMode="External"/><Relationship Id="rId9" Type="http://schemas.openxmlformats.org/officeDocument/2006/relationships/hyperlink" Target="https://github.com/Open-Network-Models-and-Interfaces-ONMI/TAPI-Activities/blob/main/ContributionsForDiscussions/onmi2025.ND.001-YangConfigStatements.pp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061E7-583E-48EA-BC24-50BAFA208482}">
  <sheetPr codeName="Sheet1"/>
  <dimension ref="A1:V72"/>
  <sheetViews>
    <sheetView tabSelected="1" zoomScale="70" zoomScaleNormal="70" workbookViewId="0">
      <pane ySplit="1" topLeftCell="A18" activePane="bottomLeft" state="frozen"/>
      <selection pane="bottomLeft" activeCell="B20" sqref="B20"/>
    </sheetView>
  </sheetViews>
  <sheetFormatPr defaultRowHeight="15" x14ac:dyDescent="0.25"/>
  <cols>
    <col min="1" max="1" width="9.140625" style="1"/>
    <col min="2" max="2" width="63.7109375" style="1" customWidth="1"/>
    <col min="3" max="3" width="11.5703125" style="1" customWidth="1"/>
    <col min="4" max="4" width="6.42578125" style="1" customWidth="1"/>
    <col min="5" max="5" width="19.7109375" style="1" customWidth="1"/>
    <col min="6" max="6" width="9.140625" style="1"/>
    <col min="7" max="7" width="23.5703125" style="1" customWidth="1"/>
    <col min="8" max="8" width="51.85546875" style="1" customWidth="1"/>
    <col min="9" max="10" width="18.140625" style="1" customWidth="1"/>
    <col min="11" max="11" width="40.85546875" style="1" customWidth="1"/>
    <col min="12" max="12" width="9.140625" style="1" hidden="1" customWidth="1"/>
    <col min="13" max="13" width="12.85546875" style="1" hidden="1" customWidth="1"/>
    <col min="14" max="14" width="15.140625" style="1" hidden="1" customWidth="1"/>
    <col min="15" max="15" width="18" style="1" hidden="1" customWidth="1"/>
    <col min="16" max="16" width="10.85546875" style="1" customWidth="1"/>
    <col min="17" max="18" width="13.140625" style="1" bestFit="1" customWidth="1"/>
    <col min="19" max="19" width="24.42578125" style="1" customWidth="1"/>
    <col min="20" max="20" width="14.5703125" style="1" customWidth="1"/>
    <col min="21" max="21" width="31" style="1" customWidth="1"/>
    <col min="22" max="22" width="20.140625" style="1" customWidth="1"/>
    <col min="23" max="16384" width="9.140625" style="1"/>
  </cols>
  <sheetData>
    <row r="1" spans="1:22" ht="45" x14ac:dyDescent="0.25">
      <c r="A1" s="1" t="s">
        <v>48</v>
      </c>
      <c r="B1" s="1" t="s">
        <v>0</v>
      </c>
      <c r="C1" s="1" t="s">
        <v>119</v>
      </c>
      <c r="D1" s="1" t="s">
        <v>129</v>
      </c>
      <c r="E1" s="1" t="s">
        <v>112</v>
      </c>
      <c r="F1" s="1" t="s">
        <v>56</v>
      </c>
      <c r="G1" s="1" t="s">
        <v>78</v>
      </c>
      <c r="H1" s="1" t="s">
        <v>172</v>
      </c>
      <c r="I1" s="1" t="s">
        <v>143</v>
      </c>
      <c r="J1" s="1" t="s">
        <v>233</v>
      </c>
      <c r="K1" s="1" t="s">
        <v>83</v>
      </c>
      <c r="L1" s="1" t="s">
        <v>49</v>
      </c>
      <c r="M1" s="1" t="s">
        <v>50</v>
      </c>
      <c r="N1" s="1" t="s">
        <v>51</v>
      </c>
      <c r="O1" s="1" t="s">
        <v>54</v>
      </c>
      <c r="P1" s="1" t="s">
        <v>52</v>
      </c>
      <c r="Q1" s="16" t="s">
        <v>173</v>
      </c>
      <c r="R1" s="16" t="s">
        <v>174</v>
      </c>
      <c r="S1" s="16" t="s">
        <v>175</v>
      </c>
      <c r="T1" s="1" t="s">
        <v>176</v>
      </c>
      <c r="U1" s="1" t="s">
        <v>83</v>
      </c>
      <c r="V1" s="17" t="s">
        <v>177</v>
      </c>
    </row>
    <row r="2" spans="1:22" ht="60" x14ac:dyDescent="0.25">
      <c r="A2" s="1">
        <v>15</v>
      </c>
      <c r="B2" s="3" t="s">
        <v>13</v>
      </c>
      <c r="C2" s="3">
        <v>1</v>
      </c>
      <c r="D2" s="3">
        <v>2.7</v>
      </c>
      <c r="E2" s="5" t="s">
        <v>158</v>
      </c>
      <c r="F2" s="1" t="s">
        <v>57</v>
      </c>
      <c r="G2" s="9" t="s">
        <v>79</v>
      </c>
      <c r="H2" s="10" t="s">
        <v>125</v>
      </c>
      <c r="I2" s="1" t="s">
        <v>235</v>
      </c>
      <c r="J2" s="25" t="s">
        <v>236</v>
      </c>
      <c r="K2" s="1" t="s">
        <v>160</v>
      </c>
      <c r="L2" s="1">
        <v>1</v>
      </c>
      <c r="M2" s="1">
        <v>3</v>
      </c>
      <c r="N2" s="1">
        <v>1</v>
      </c>
      <c r="O2" s="1">
        <v>1</v>
      </c>
      <c r="P2" s="1">
        <f>L2*M2*N2*O2</f>
        <v>3</v>
      </c>
      <c r="Q2" s="18">
        <v>1</v>
      </c>
      <c r="R2" s="18">
        <v>1</v>
      </c>
      <c r="S2" s="18"/>
      <c r="T2" s="1" t="str">
        <f t="shared" ref="T2:T38" si="0">IF(R2="", "?",IF(R2="?", "?", IF(C2=R2, "-",IF(C2&gt;R2,"H",IF(C2&lt;R2,"L")))))</f>
        <v>-</v>
      </c>
      <c r="U2" s="21"/>
    </row>
    <row r="3" spans="1:22" ht="120" x14ac:dyDescent="0.25">
      <c r="A3" s="1">
        <v>57</v>
      </c>
      <c r="B3" s="1" t="s">
        <v>67</v>
      </c>
      <c r="C3" s="3">
        <v>1</v>
      </c>
      <c r="D3" s="3">
        <v>2.7</v>
      </c>
      <c r="E3" s="2" t="s">
        <v>104</v>
      </c>
      <c r="F3" s="1" t="s">
        <v>68</v>
      </c>
      <c r="J3" s="2" t="s">
        <v>234</v>
      </c>
      <c r="K3" s="1" t="s">
        <v>232</v>
      </c>
      <c r="L3" s="1">
        <v>1</v>
      </c>
      <c r="M3" s="1">
        <v>2</v>
      </c>
      <c r="N3" s="1">
        <v>1</v>
      </c>
      <c r="O3" s="1">
        <v>1</v>
      </c>
      <c r="P3" s="1">
        <f>L3*M3*N3*O3</f>
        <v>2</v>
      </c>
      <c r="Q3" s="18">
        <v>1</v>
      </c>
      <c r="R3" s="18">
        <v>1</v>
      </c>
      <c r="S3" s="18" t="s">
        <v>208</v>
      </c>
      <c r="T3" s="1" t="str">
        <f t="shared" si="0"/>
        <v>-</v>
      </c>
      <c r="U3" s="21"/>
    </row>
    <row r="4" spans="1:22" ht="165" x14ac:dyDescent="0.25">
      <c r="A4" s="1">
        <v>62</v>
      </c>
      <c r="B4" s="1" t="s">
        <v>133</v>
      </c>
      <c r="C4" s="3">
        <v>1</v>
      </c>
      <c r="D4" s="1" t="s">
        <v>132</v>
      </c>
      <c r="E4" s="2" t="s">
        <v>53</v>
      </c>
      <c r="F4" s="1" t="s">
        <v>128</v>
      </c>
      <c r="I4" s="1" t="s">
        <v>237</v>
      </c>
      <c r="J4" s="25" t="s">
        <v>238</v>
      </c>
      <c r="L4" s="1">
        <v>1</v>
      </c>
      <c r="M4" s="1">
        <v>1</v>
      </c>
      <c r="N4" s="1">
        <v>2</v>
      </c>
      <c r="O4" s="1">
        <v>1</v>
      </c>
      <c r="P4" s="1">
        <f>L4*M4*N4*O4</f>
        <v>2</v>
      </c>
      <c r="Q4" s="18">
        <v>1</v>
      </c>
      <c r="R4" s="18">
        <v>1</v>
      </c>
      <c r="S4" s="18" t="s">
        <v>211</v>
      </c>
      <c r="T4" s="1" t="str">
        <f t="shared" si="0"/>
        <v>-</v>
      </c>
      <c r="U4" s="21"/>
    </row>
    <row r="5" spans="1:22" ht="60" x14ac:dyDescent="0.25">
      <c r="A5" s="1">
        <v>63</v>
      </c>
      <c r="B5" s="1" t="s">
        <v>134</v>
      </c>
      <c r="C5" s="3">
        <v>1</v>
      </c>
      <c r="D5" s="1" t="s">
        <v>130</v>
      </c>
      <c r="E5" s="2" t="s">
        <v>240</v>
      </c>
      <c r="F5" s="1" t="s">
        <v>152</v>
      </c>
      <c r="I5" s="1" t="s">
        <v>144</v>
      </c>
      <c r="J5" s="2" t="s">
        <v>239</v>
      </c>
      <c r="K5" s="1" t="s">
        <v>135</v>
      </c>
      <c r="L5" s="1">
        <v>1</v>
      </c>
      <c r="M5" s="1">
        <v>1</v>
      </c>
      <c r="N5" s="1">
        <v>1</v>
      </c>
      <c r="O5" s="1">
        <v>1</v>
      </c>
      <c r="P5" s="1">
        <f>L5*M5*N5*O5</f>
        <v>1</v>
      </c>
      <c r="Q5" s="18">
        <v>1</v>
      </c>
      <c r="R5" s="18">
        <v>1</v>
      </c>
      <c r="S5" s="18" t="s">
        <v>212</v>
      </c>
      <c r="T5" s="1" t="str">
        <f t="shared" si="0"/>
        <v>-</v>
      </c>
      <c r="U5" s="21"/>
    </row>
    <row r="6" spans="1:22" ht="105" x14ac:dyDescent="0.25">
      <c r="A6" s="1">
        <v>67</v>
      </c>
      <c r="B6" s="1" t="s">
        <v>147</v>
      </c>
      <c r="C6" s="3">
        <v>1</v>
      </c>
      <c r="D6" s="3">
        <v>2.7</v>
      </c>
      <c r="E6" s="2" t="s">
        <v>53</v>
      </c>
      <c r="F6" s="1" t="s">
        <v>148</v>
      </c>
      <c r="J6" s="2" t="s">
        <v>241</v>
      </c>
      <c r="L6" s="1">
        <v>1</v>
      </c>
      <c r="M6" s="1">
        <v>1</v>
      </c>
      <c r="N6" s="1">
        <v>1</v>
      </c>
      <c r="O6" s="1">
        <v>1</v>
      </c>
      <c r="P6" s="1">
        <f>L6*M6*N6*O6</f>
        <v>1</v>
      </c>
      <c r="Q6" s="18">
        <v>1</v>
      </c>
      <c r="R6" s="18">
        <v>1</v>
      </c>
      <c r="S6" s="18" t="s">
        <v>218</v>
      </c>
      <c r="T6" s="1" t="str">
        <f t="shared" si="0"/>
        <v>-</v>
      </c>
      <c r="U6" s="21"/>
    </row>
    <row r="7" spans="1:22" ht="120" x14ac:dyDescent="0.25">
      <c r="A7" s="1">
        <v>68</v>
      </c>
      <c r="B7" s="1" t="s">
        <v>47</v>
      </c>
      <c r="C7" s="3">
        <v>1</v>
      </c>
      <c r="D7" s="3">
        <v>2.7</v>
      </c>
      <c r="E7" s="2" t="s">
        <v>149</v>
      </c>
      <c r="F7" s="1" t="s">
        <v>150</v>
      </c>
      <c r="I7" s="1" t="s">
        <v>243</v>
      </c>
      <c r="J7" s="2" t="s">
        <v>242</v>
      </c>
      <c r="Q7" s="18">
        <v>1</v>
      </c>
      <c r="R7" s="18">
        <v>1</v>
      </c>
      <c r="S7" s="18"/>
      <c r="T7" s="1" t="str">
        <f t="shared" si="0"/>
        <v>-</v>
      </c>
      <c r="U7" s="2" t="s">
        <v>219</v>
      </c>
    </row>
    <row r="8" spans="1:22" ht="90" x14ac:dyDescent="0.25">
      <c r="A8" s="1">
        <v>7</v>
      </c>
      <c r="B8" s="3" t="s">
        <v>82</v>
      </c>
      <c r="C8" s="3">
        <v>2</v>
      </c>
      <c r="D8" s="3">
        <v>2.7</v>
      </c>
      <c r="E8" s="2" t="s">
        <v>53</v>
      </c>
      <c r="F8" s="1" t="s">
        <v>169</v>
      </c>
      <c r="G8" s="1" t="s">
        <v>76</v>
      </c>
      <c r="H8" s="10" t="s">
        <v>115</v>
      </c>
      <c r="I8" s="1" t="s">
        <v>244</v>
      </c>
      <c r="J8" s="2" t="s">
        <v>253</v>
      </c>
      <c r="K8" s="1" t="s">
        <v>88</v>
      </c>
      <c r="L8" s="1">
        <v>1</v>
      </c>
      <c r="M8" s="1">
        <v>1</v>
      </c>
      <c r="N8" s="1">
        <v>1</v>
      </c>
      <c r="O8" s="1">
        <v>1</v>
      </c>
      <c r="P8" s="1">
        <f t="shared" ref="P8:P13" si="1">L8*M8*N8*O8</f>
        <v>1</v>
      </c>
      <c r="Q8" s="18">
        <v>1</v>
      </c>
      <c r="R8" s="18">
        <v>1</v>
      </c>
      <c r="S8" s="18"/>
      <c r="T8" s="1" t="str">
        <f t="shared" si="0"/>
        <v>H</v>
      </c>
      <c r="U8" s="21" t="s">
        <v>184</v>
      </c>
    </row>
    <row r="9" spans="1:22" ht="45" x14ac:dyDescent="0.25">
      <c r="A9" s="1">
        <v>9</v>
      </c>
      <c r="B9" s="3" t="s">
        <v>7</v>
      </c>
      <c r="C9" s="3">
        <v>2</v>
      </c>
      <c r="D9" s="3">
        <v>2.7</v>
      </c>
      <c r="E9" s="2" t="s">
        <v>53</v>
      </c>
      <c r="F9" s="1" t="s">
        <v>170</v>
      </c>
      <c r="G9" s="1" t="s">
        <v>87</v>
      </c>
      <c r="J9" s="2" t="s">
        <v>245</v>
      </c>
      <c r="K9" s="1" t="s">
        <v>85</v>
      </c>
      <c r="L9" s="1">
        <v>1</v>
      </c>
      <c r="M9" s="1">
        <v>2</v>
      </c>
      <c r="N9" s="1">
        <v>1</v>
      </c>
      <c r="O9" s="1">
        <v>1</v>
      </c>
      <c r="P9" s="1">
        <f t="shared" si="1"/>
        <v>2</v>
      </c>
      <c r="Q9" s="18">
        <v>1</v>
      </c>
      <c r="R9" s="18">
        <v>1</v>
      </c>
      <c r="S9" s="18"/>
      <c r="T9" s="1" t="str">
        <f t="shared" si="0"/>
        <v>H</v>
      </c>
      <c r="U9" s="21" t="s">
        <v>186</v>
      </c>
    </row>
    <row r="10" spans="1:22" ht="45" x14ac:dyDescent="0.25">
      <c r="A10" s="1">
        <v>30</v>
      </c>
      <c r="B10" s="3" t="s">
        <v>74</v>
      </c>
      <c r="C10" s="3">
        <v>2</v>
      </c>
      <c r="D10" s="3">
        <v>2.7</v>
      </c>
      <c r="E10" s="5" t="s">
        <v>86</v>
      </c>
      <c r="F10" s="1" t="s">
        <v>171</v>
      </c>
      <c r="G10" s="1" t="s">
        <v>80</v>
      </c>
      <c r="J10" s="2" t="s">
        <v>246</v>
      </c>
      <c r="K10" s="1" t="s">
        <v>95</v>
      </c>
      <c r="L10" s="1">
        <v>1</v>
      </c>
      <c r="M10" s="1">
        <v>3</v>
      </c>
      <c r="N10" s="1">
        <v>1</v>
      </c>
      <c r="O10" s="1">
        <v>1</v>
      </c>
      <c r="P10" s="1">
        <f t="shared" si="1"/>
        <v>3</v>
      </c>
      <c r="Q10" s="22">
        <v>1</v>
      </c>
      <c r="R10" s="22">
        <v>1</v>
      </c>
      <c r="S10" s="22" t="s">
        <v>196</v>
      </c>
      <c r="T10" s="1" t="str">
        <f t="shared" si="0"/>
        <v>H</v>
      </c>
      <c r="U10" s="2" t="s">
        <v>197</v>
      </c>
      <c r="V10" s="1" t="s">
        <v>198</v>
      </c>
    </row>
    <row r="11" spans="1:22" ht="105" x14ac:dyDescent="0.25">
      <c r="A11" s="1">
        <v>31</v>
      </c>
      <c r="B11" s="3" t="s">
        <v>27</v>
      </c>
      <c r="C11" s="3">
        <v>2</v>
      </c>
      <c r="D11" s="3">
        <v>2.7</v>
      </c>
      <c r="E11" s="5" t="s">
        <v>86</v>
      </c>
      <c r="F11" s="1" t="s">
        <v>60</v>
      </c>
      <c r="G11" s="1" t="s">
        <v>80</v>
      </c>
      <c r="I11" s="1" t="s">
        <v>247</v>
      </c>
      <c r="J11" s="25" t="s">
        <v>248</v>
      </c>
      <c r="K11" s="8" t="s">
        <v>90</v>
      </c>
      <c r="L11" s="1">
        <v>1</v>
      </c>
      <c r="M11" s="1">
        <v>3</v>
      </c>
      <c r="N11" s="1">
        <v>1</v>
      </c>
      <c r="O11" s="1">
        <v>1</v>
      </c>
      <c r="P11" s="1">
        <f t="shared" si="1"/>
        <v>3</v>
      </c>
      <c r="Q11" s="18">
        <v>1</v>
      </c>
      <c r="R11" s="18">
        <v>1</v>
      </c>
      <c r="S11" s="18" t="s">
        <v>199</v>
      </c>
      <c r="T11" s="1" t="str">
        <f t="shared" si="0"/>
        <v>H</v>
      </c>
      <c r="U11" s="21" t="s">
        <v>200</v>
      </c>
    </row>
    <row r="12" spans="1:22" ht="225" x14ac:dyDescent="0.25">
      <c r="A12" s="1">
        <v>5</v>
      </c>
      <c r="B12" s="3" t="s">
        <v>5</v>
      </c>
      <c r="C12" s="3">
        <v>3</v>
      </c>
      <c r="D12" s="3">
        <v>2.7</v>
      </c>
      <c r="E12" s="2" t="s">
        <v>223</v>
      </c>
      <c r="F12" s="1" t="s">
        <v>224</v>
      </c>
      <c r="G12" s="2" t="s">
        <v>73</v>
      </c>
      <c r="H12" s="11" t="s">
        <v>120</v>
      </c>
      <c r="I12" s="1" t="s">
        <v>249</v>
      </c>
      <c r="J12" s="25" t="s">
        <v>252</v>
      </c>
      <c r="K12" s="1" t="s">
        <v>91</v>
      </c>
      <c r="L12" s="1">
        <v>1</v>
      </c>
      <c r="M12" s="1">
        <v>2</v>
      </c>
      <c r="N12" s="1">
        <v>0</v>
      </c>
      <c r="O12" s="1">
        <v>1</v>
      </c>
      <c r="P12" s="1">
        <f t="shared" si="1"/>
        <v>0</v>
      </c>
      <c r="Q12" s="20">
        <v>1</v>
      </c>
      <c r="R12" s="20">
        <v>1</v>
      </c>
      <c r="S12" s="20" t="s">
        <v>181</v>
      </c>
      <c r="T12" s="1" t="str">
        <f t="shared" si="0"/>
        <v>H</v>
      </c>
      <c r="U12" s="21" t="s">
        <v>182</v>
      </c>
      <c r="V12" s="1" t="s">
        <v>183</v>
      </c>
    </row>
    <row r="13" spans="1:22" ht="75" x14ac:dyDescent="0.25">
      <c r="A13" s="1">
        <v>10</v>
      </c>
      <c r="B13" s="3" t="s">
        <v>8</v>
      </c>
      <c r="C13" s="3">
        <v>3</v>
      </c>
      <c r="D13" s="3">
        <v>2.7</v>
      </c>
      <c r="E13" s="5" t="s">
        <v>53</v>
      </c>
      <c r="F13" s="1" t="s">
        <v>225</v>
      </c>
      <c r="G13" s="1" t="s">
        <v>76</v>
      </c>
      <c r="H13" s="10" t="s">
        <v>116</v>
      </c>
      <c r="I13" s="10"/>
      <c r="J13" s="2" t="s">
        <v>251</v>
      </c>
      <c r="K13" s="1" t="s">
        <v>94</v>
      </c>
      <c r="L13" s="1">
        <v>1</v>
      </c>
      <c r="M13" s="1">
        <v>3</v>
      </c>
      <c r="N13" s="1">
        <v>1</v>
      </c>
      <c r="O13" s="1">
        <v>1</v>
      </c>
      <c r="P13" s="1">
        <f t="shared" si="1"/>
        <v>3</v>
      </c>
      <c r="Q13" s="18">
        <v>1</v>
      </c>
      <c r="R13" s="18">
        <v>1</v>
      </c>
      <c r="S13" s="18" t="s">
        <v>187</v>
      </c>
      <c r="T13" s="1" t="str">
        <f t="shared" si="0"/>
        <v>H</v>
      </c>
      <c r="U13" s="21" t="s">
        <v>188</v>
      </c>
      <c r="V13" s="6"/>
    </row>
    <row r="14" spans="1:22" ht="90" x14ac:dyDescent="0.25">
      <c r="A14" s="1">
        <v>69</v>
      </c>
      <c r="B14" s="1" t="s">
        <v>154</v>
      </c>
      <c r="C14" s="3">
        <v>3</v>
      </c>
      <c r="D14" s="3">
        <v>2.7</v>
      </c>
      <c r="E14" s="2" t="s">
        <v>155</v>
      </c>
      <c r="F14" s="1" t="s">
        <v>226</v>
      </c>
      <c r="I14" s="1" t="s">
        <v>250</v>
      </c>
      <c r="J14" s="2" t="s">
        <v>254</v>
      </c>
      <c r="K14" s="1" t="s">
        <v>156</v>
      </c>
      <c r="Q14" s="20">
        <v>1</v>
      </c>
      <c r="R14" s="20">
        <v>1</v>
      </c>
      <c r="S14" s="24" t="s">
        <v>220</v>
      </c>
      <c r="T14" s="1" t="str">
        <f t="shared" si="0"/>
        <v>H</v>
      </c>
      <c r="U14" s="21" t="s">
        <v>221</v>
      </c>
      <c r="V14" s="1" t="s">
        <v>222</v>
      </c>
    </row>
    <row r="15" spans="1:22" ht="150" x14ac:dyDescent="0.25">
      <c r="A15" s="1">
        <v>58</v>
      </c>
      <c r="B15" s="1" t="s">
        <v>69</v>
      </c>
      <c r="C15" s="3">
        <v>1</v>
      </c>
      <c r="D15" s="3">
        <v>2.7</v>
      </c>
      <c r="E15" s="2" t="s">
        <v>104</v>
      </c>
      <c r="F15" s="1" t="s">
        <v>70</v>
      </c>
      <c r="J15" s="2" t="s">
        <v>234</v>
      </c>
      <c r="K15" s="1" t="s">
        <v>101</v>
      </c>
      <c r="L15" s="1">
        <v>1</v>
      </c>
      <c r="M15" s="1">
        <v>2</v>
      </c>
      <c r="N15" s="1">
        <v>1</v>
      </c>
      <c r="O15" s="1">
        <v>1</v>
      </c>
      <c r="P15" s="1">
        <f t="shared" ref="P15:P34" si="2">L15*M15*N15*O15</f>
        <v>2</v>
      </c>
      <c r="Q15" s="18">
        <v>3</v>
      </c>
      <c r="R15" s="18">
        <v>2</v>
      </c>
      <c r="S15" s="18" t="s">
        <v>209</v>
      </c>
      <c r="T15" s="1" t="str">
        <f t="shared" si="0"/>
        <v>L</v>
      </c>
      <c r="U15" s="21" t="s">
        <v>184</v>
      </c>
    </row>
    <row r="16" spans="1:22" ht="60" x14ac:dyDescent="0.25">
      <c r="A16" s="1">
        <v>64</v>
      </c>
      <c r="B16" s="1" t="s">
        <v>136</v>
      </c>
      <c r="C16" s="3">
        <v>1</v>
      </c>
      <c r="D16" s="1" t="s">
        <v>138</v>
      </c>
      <c r="E16" s="2" t="s">
        <v>53</v>
      </c>
      <c r="F16" s="1" t="s">
        <v>137</v>
      </c>
      <c r="J16" s="2" t="s">
        <v>255</v>
      </c>
      <c r="L16" s="1">
        <v>1</v>
      </c>
      <c r="M16" s="1">
        <v>2</v>
      </c>
      <c r="N16" s="1">
        <v>2</v>
      </c>
      <c r="O16" s="1">
        <v>1</v>
      </c>
      <c r="P16" s="1">
        <f t="shared" si="2"/>
        <v>4</v>
      </c>
      <c r="Q16" s="18">
        <v>3</v>
      </c>
      <c r="R16" s="18">
        <v>2</v>
      </c>
      <c r="S16" s="18" t="s">
        <v>213</v>
      </c>
      <c r="T16" s="1" t="str">
        <f t="shared" si="0"/>
        <v>L</v>
      </c>
      <c r="U16" s="23" t="s">
        <v>214</v>
      </c>
    </row>
    <row r="17" spans="1:22" ht="30" x14ac:dyDescent="0.25">
      <c r="A17" s="1">
        <v>66</v>
      </c>
      <c r="B17" s="1" t="s">
        <v>141</v>
      </c>
      <c r="C17" s="3">
        <v>1</v>
      </c>
      <c r="D17" s="3">
        <v>2.7</v>
      </c>
      <c r="E17" s="2" t="s">
        <v>53</v>
      </c>
      <c r="F17" s="1" t="s">
        <v>142</v>
      </c>
      <c r="I17" s="1" t="s">
        <v>145</v>
      </c>
      <c r="J17" s="2" t="s">
        <v>256</v>
      </c>
      <c r="L17" s="1">
        <v>1</v>
      </c>
      <c r="M17" s="1">
        <v>1</v>
      </c>
      <c r="N17" s="1">
        <v>1</v>
      </c>
      <c r="O17" s="1">
        <v>1</v>
      </c>
      <c r="P17" s="1">
        <f t="shared" si="2"/>
        <v>1</v>
      </c>
      <c r="Q17" s="18">
        <v>3</v>
      </c>
      <c r="R17" s="18">
        <v>2</v>
      </c>
      <c r="S17" s="18" t="s">
        <v>217</v>
      </c>
      <c r="T17" s="1" t="str">
        <f t="shared" si="0"/>
        <v>L</v>
      </c>
      <c r="U17" s="23" t="s">
        <v>207</v>
      </c>
    </row>
    <row r="18" spans="1:22" ht="75" x14ac:dyDescent="0.25">
      <c r="A18" s="1">
        <v>2</v>
      </c>
      <c r="B18" s="3" t="s">
        <v>2</v>
      </c>
      <c r="C18" s="13">
        <v>2</v>
      </c>
      <c r="D18" s="3">
        <v>2.7</v>
      </c>
      <c r="E18" s="5" t="s">
        <v>53</v>
      </c>
      <c r="F18" s="12" t="s">
        <v>157</v>
      </c>
      <c r="G18" s="1" t="s">
        <v>81</v>
      </c>
      <c r="H18" s="10" t="s">
        <v>118</v>
      </c>
      <c r="I18" s="10"/>
      <c r="J18" s="2" t="s">
        <v>257</v>
      </c>
      <c r="K18" s="1" t="s">
        <v>159</v>
      </c>
      <c r="L18" s="1">
        <v>1</v>
      </c>
      <c r="M18" s="1">
        <v>4</v>
      </c>
      <c r="N18" s="1">
        <v>1</v>
      </c>
      <c r="O18" s="1">
        <v>1</v>
      </c>
      <c r="P18" s="1">
        <f t="shared" si="2"/>
        <v>4</v>
      </c>
      <c r="Q18" s="18">
        <v>3</v>
      </c>
      <c r="R18" s="18">
        <v>2</v>
      </c>
      <c r="S18" s="18" t="s">
        <v>178</v>
      </c>
      <c r="T18" s="1" t="str">
        <f t="shared" si="0"/>
        <v>-</v>
      </c>
      <c r="U18" s="19" t="s">
        <v>179</v>
      </c>
      <c r="V18" s="1" t="s">
        <v>180</v>
      </c>
    </row>
    <row r="19" spans="1:22" ht="30" x14ac:dyDescent="0.25">
      <c r="A19" s="1">
        <v>53</v>
      </c>
      <c r="B19" s="1" t="s">
        <v>58</v>
      </c>
      <c r="C19" s="3">
        <v>2</v>
      </c>
      <c r="D19" s="3">
        <v>2.7</v>
      </c>
      <c r="E19" s="2" t="s">
        <v>106</v>
      </c>
      <c r="F19" s="1" t="s">
        <v>59</v>
      </c>
      <c r="J19" s="2" t="s">
        <v>258</v>
      </c>
      <c r="L19" s="1">
        <v>1</v>
      </c>
      <c r="M19" s="1">
        <v>1</v>
      </c>
      <c r="N19" s="1">
        <v>2</v>
      </c>
      <c r="O19" s="1">
        <v>1</v>
      </c>
      <c r="P19" s="1">
        <f t="shared" si="2"/>
        <v>2</v>
      </c>
      <c r="Q19" s="18">
        <v>3</v>
      </c>
      <c r="R19" s="18">
        <v>2</v>
      </c>
      <c r="S19" s="18"/>
      <c r="T19" s="1" t="str">
        <f t="shared" si="0"/>
        <v>-</v>
      </c>
      <c r="U19" s="2" t="s">
        <v>206</v>
      </c>
    </row>
    <row r="20" spans="1:22" ht="60" x14ac:dyDescent="0.25">
      <c r="A20" s="1">
        <v>8</v>
      </c>
      <c r="B20" s="3" t="s">
        <v>122</v>
      </c>
      <c r="C20" s="3">
        <v>3</v>
      </c>
      <c r="D20" s="3">
        <v>2.7</v>
      </c>
      <c r="E20" s="2" t="s">
        <v>53</v>
      </c>
      <c r="F20" s="1" t="s">
        <v>227</v>
      </c>
      <c r="G20" s="2" t="s">
        <v>73</v>
      </c>
      <c r="H20" s="11" t="s">
        <v>121</v>
      </c>
      <c r="I20" s="1" t="s">
        <v>249</v>
      </c>
      <c r="J20" s="25" t="s">
        <v>260</v>
      </c>
      <c r="L20" s="1">
        <v>3</v>
      </c>
      <c r="M20" s="1">
        <v>2</v>
      </c>
      <c r="N20" s="1">
        <v>0</v>
      </c>
      <c r="O20" s="1">
        <v>1</v>
      </c>
      <c r="P20" s="1">
        <f t="shared" si="2"/>
        <v>0</v>
      </c>
      <c r="Q20" s="18">
        <v>3</v>
      </c>
      <c r="R20" s="18">
        <v>2</v>
      </c>
      <c r="S20" s="18"/>
      <c r="T20" s="1" t="str">
        <f t="shared" si="0"/>
        <v>H</v>
      </c>
      <c r="U20" s="21" t="s">
        <v>185</v>
      </c>
    </row>
    <row r="21" spans="1:22" ht="60" x14ac:dyDescent="0.25">
      <c r="A21" s="1">
        <v>12</v>
      </c>
      <c r="B21" s="3" t="s">
        <v>10</v>
      </c>
      <c r="C21" s="3">
        <v>3</v>
      </c>
      <c r="D21" s="3">
        <v>2.7</v>
      </c>
      <c r="E21" s="2" t="s">
        <v>53</v>
      </c>
      <c r="F21" s="1" t="s">
        <v>228</v>
      </c>
      <c r="G21" s="2" t="s">
        <v>73</v>
      </c>
      <c r="H21" s="11" t="s">
        <v>123</v>
      </c>
      <c r="I21" s="1" t="s">
        <v>249</v>
      </c>
      <c r="J21" s="25" t="s">
        <v>260</v>
      </c>
      <c r="K21" s="1" t="s">
        <v>91</v>
      </c>
      <c r="L21" s="1">
        <v>1</v>
      </c>
      <c r="M21" s="1">
        <v>2</v>
      </c>
      <c r="N21" s="1">
        <v>0</v>
      </c>
      <c r="O21" s="1">
        <v>1</v>
      </c>
      <c r="P21" s="1">
        <f t="shared" si="2"/>
        <v>0</v>
      </c>
      <c r="Q21" s="18">
        <v>3</v>
      </c>
      <c r="R21" s="18">
        <v>2</v>
      </c>
      <c r="S21" s="18" t="s">
        <v>189</v>
      </c>
      <c r="T21" s="1" t="str">
        <f t="shared" si="0"/>
        <v>H</v>
      </c>
      <c r="U21" s="21" t="s">
        <v>190</v>
      </c>
    </row>
    <row r="22" spans="1:22" ht="30" x14ac:dyDescent="0.25">
      <c r="A22" s="1">
        <v>13</v>
      </c>
      <c r="B22" s="3" t="s">
        <v>11</v>
      </c>
      <c r="C22" s="3">
        <v>3</v>
      </c>
      <c r="D22" s="3">
        <v>2.7</v>
      </c>
      <c r="E22" s="2" t="s">
        <v>53</v>
      </c>
      <c r="F22" s="1" t="s">
        <v>230</v>
      </c>
      <c r="G22" s="1" t="s">
        <v>103</v>
      </c>
      <c r="J22" s="25" t="s">
        <v>259</v>
      </c>
      <c r="K22" s="1" t="s">
        <v>97</v>
      </c>
      <c r="L22" s="1">
        <v>2</v>
      </c>
      <c r="M22" s="1">
        <v>2</v>
      </c>
      <c r="N22" s="1">
        <v>1</v>
      </c>
      <c r="O22" s="1">
        <v>1</v>
      </c>
      <c r="P22" s="1">
        <f t="shared" si="2"/>
        <v>4</v>
      </c>
      <c r="Q22" s="18">
        <v>3</v>
      </c>
      <c r="R22" s="18">
        <v>2</v>
      </c>
      <c r="S22" s="18" t="s">
        <v>191</v>
      </c>
      <c r="T22" s="1" t="str">
        <f t="shared" si="0"/>
        <v>H</v>
      </c>
      <c r="U22" s="21" t="s">
        <v>185</v>
      </c>
    </row>
    <row r="23" spans="1:22" ht="75" x14ac:dyDescent="0.25">
      <c r="A23" s="1">
        <v>38</v>
      </c>
      <c r="B23" s="3" t="s">
        <v>33</v>
      </c>
      <c r="C23" s="3">
        <v>3</v>
      </c>
      <c r="D23" s="3">
        <v>2.7</v>
      </c>
      <c r="E23" s="2" t="s">
        <v>53</v>
      </c>
      <c r="F23" s="1" t="s">
        <v>229</v>
      </c>
      <c r="G23" s="2" t="s">
        <v>73</v>
      </c>
      <c r="H23" s="11" t="s">
        <v>124</v>
      </c>
      <c r="I23" s="1" t="s">
        <v>249</v>
      </c>
      <c r="J23" s="25" t="s">
        <v>260</v>
      </c>
      <c r="K23" s="1" t="s">
        <v>92</v>
      </c>
      <c r="L23" s="1">
        <v>2</v>
      </c>
      <c r="M23" s="1">
        <v>2</v>
      </c>
      <c r="N23" s="1">
        <v>0</v>
      </c>
      <c r="O23" s="1">
        <v>1</v>
      </c>
      <c r="P23" s="1">
        <f t="shared" si="2"/>
        <v>0</v>
      </c>
      <c r="Q23" s="18">
        <v>3</v>
      </c>
      <c r="R23" s="18">
        <v>2</v>
      </c>
      <c r="S23" s="18" t="s">
        <v>201</v>
      </c>
      <c r="T23" s="1" t="str">
        <f t="shared" si="0"/>
        <v>H</v>
      </c>
      <c r="U23" s="21" t="s">
        <v>185</v>
      </c>
    </row>
    <row r="24" spans="1:22" s="6" customFormat="1" ht="75" x14ac:dyDescent="0.25">
      <c r="A24" s="1">
        <v>39</v>
      </c>
      <c r="B24" s="3" t="s">
        <v>34</v>
      </c>
      <c r="C24" s="3">
        <v>3</v>
      </c>
      <c r="D24" s="3">
        <v>2.7</v>
      </c>
      <c r="E24" s="2" t="s">
        <v>53</v>
      </c>
      <c r="F24" s="1" t="s">
        <v>231</v>
      </c>
      <c r="G24" s="2" t="s">
        <v>73</v>
      </c>
      <c r="H24" s="1"/>
      <c r="I24" s="1" t="s">
        <v>249</v>
      </c>
      <c r="J24" s="25" t="s">
        <v>260</v>
      </c>
      <c r="K24" s="1" t="s">
        <v>93</v>
      </c>
      <c r="L24" s="1">
        <v>2</v>
      </c>
      <c r="M24" s="1">
        <v>2</v>
      </c>
      <c r="N24" s="1">
        <v>0</v>
      </c>
      <c r="O24" s="1">
        <v>1</v>
      </c>
      <c r="P24" s="1">
        <f t="shared" si="2"/>
        <v>0</v>
      </c>
      <c r="Q24" s="18">
        <v>3</v>
      </c>
      <c r="R24" s="18">
        <v>2</v>
      </c>
      <c r="S24" s="18" t="s">
        <v>201</v>
      </c>
      <c r="T24" s="1" t="str">
        <f t="shared" si="0"/>
        <v>H</v>
      </c>
      <c r="U24" s="21" t="s">
        <v>185</v>
      </c>
      <c r="V24" s="1"/>
    </row>
    <row r="25" spans="1:22" ht="30" x14ac:dyDescent="0.25">
      <c r="A25" s="1">
        <v>56</v>
      </c>
      <c r="B25" s="1" t="s">
        <v>64</v>
      </c>
      <c r="C25" s="3">
        <v>3</v>
      </c>
      <c r="D25" s="3">
        <v>2.7</v>
      </c>
      <c r="E25" s="2" t="s">
        <v>106</v>
      </c>
      <c r="F25" s="1" t="s">
        <v>65</v>
      </c>
      <c r="I25" s="1" t="s">
        <v>265</v>
      </c>
      <c r="J25" s="26" t="s">
        <v>264</v>
      </c>
      <c r="K25" s="1" t="s">
        <v>110</v>
      </c>
      <c r="L25" s="1">
        <v>1</v>
      </c>
      <c r="M25" s="1">
        <v>2</v>
      </c>
      <c r="N25" s="1">
        <v>1</v>
      </c>
      <c r="O25" s="1">
        <v>1</v>
      </c>
      <c r="P25" s="1">
        <f t="shared" si="2"/>
        <v>2</v>
      </c>
      <c r="Q25" s="18">
        <v>3</v>
      </c>
      <c r="R25" s="18">
        <v>2</v>
      </c>
      <c r="S25" s="18"/>
      <c r="T25" s="1" t="str">
        <f t="shared" si="0"/>
        <v>H</v>
      </c>
      <c r="U25" s="21" t="s">
        <v>185</v>
      </c>
    </row>
    <row r="26" spans="1:22" ht="60" x14ac:dyDescent="0.25">
      <c r="A26" s="1">
        <v>18</v>
      </c>
      <c r="B26" s="3" t="s">
        <v>16</v>
      </c>
      <c r="C26" s="3">
        <v>1</v>
      </c>
      <c r="D26" s="3">
        <v>2.7</v>
      </c>
      <c r="E26" s="2" t="s">
        <v>53</v>
      </c>
      <c r="F26" s="1" t="s">
        <v>153</v>
      </c>
      <c r="G26" s="1" t="s">
        <v>102</v>
      </c>
      <c r="J26" s="26" t="s">
        <v>263</v>
      </c>
      <c r="K26" s="8" t="s">
        <v>84</v>
      </c>
      <c r="L26" s="1">
        <v>1</v>
      </c>
      <c r="M26" s="1">
        <v>2</v>
      </c>
      <c r="N26" s="1">
        <v>1</v>
      </c>
      <c r="O26" s="1">
        <v>1</v>
      </c>
      <c r="P26" s="1">
        <f t="shared" si="2"/>
        <v>2</v>
      </c>
      <c r="Q26" s="18">
        <v>5</v>
      </c>
      <c r="R26" s="18">
        <v>3</v>
      </c>
      <c r="S26" s="18" t="s">
        <v>192</v>
      </c>
      <c r="T26" s="1" t="str">
        <f t="shared" si="0"/>
        <v>L</v>
      </c>
      <c r="U26" s="2" t="s">
        <v>193</v>
      </c>
    </row>
    <row r="27" spans="1:22" ht="60" x14ac:dyDescent="0.25">
      <c r="A27" s="1">
        <v>54</v>
      </c>
      <c r="B27" s="1" t="s">
        <v>61</v>
      </c>
      <c r="C27" s="3">
        <v>1</v>
      </c>
      <c r="D27" s="3" t="s">
        <v>131</v>
      </c>
      <c r="E27" s="2" t="s">
        <v>53</v>
      </c>
      <c r="F27" s="1" t="s">
        <v>62</v>
      </c>
      <c r="J27" s="26" t="s">
        <v>263</v>
      </c>
      <c r="K27" s="1" t="s">
        <v>89</v>
      </c>
      <c r="L27" s="1">
        <v>1</v>
      </c>
      <c r="M27" s="1">
        <v>2</v>
      </c>
      <c r="N27" s="1">
        <v>1</v>
      </c>
      <c r="O27" s="1">
        <v>1</v>
      </c>
      <c r="P27" s="1">
        <f t="shared" si="2"/>
        <v>2</v>
      </c>
      <c r="Q27" s="18">
        <v>5</v>
      </c>
      <c r="R27" s="18">
        <v>3</v>
      </c>
      <c r="S27" s="18" t="s">
        <v>192</v>
      </c>
      <c r="T27" s="1" t="str">
        <f t="shared" si="0"/>
        <v>L</v>
      </c>
      <c r="U27" s="23" t="s">
        <v>207</v>
      </c>
    </row>
    <row r="28" spans="1:22" ht="30" x14ac:dyDescent="0.25">
      <c r="A28" s="1">
        <v>61</v>
      </c>
      <c r="B28" s="1" t="s">
        <v>126</v>
      </c>
      <c r="C28" s="3">
        <v>1</v>
      </c>
      <c r="D28" s="3" t="s">
        <v>131</v>
      </c>
      <c r="E28" s="2" t="s">
        <v>53</v>
      </c>
      <c r="F28" s="1" t="s">
        <v>127</v>
      </c>
      <c r="J28" s="25" t="s">
        <v>262</v>
      </c>
      <c r="L28" s="1">
        <v>1</v>
      </c>
      <c r="M28" s="1">
        <v>1</v>
      </c>
      <c r="N28" s="1">
        <v>2</v>
      </c>
      <c r="O28" s="1">
        <v>1</v>
      </c>
      <c r="P28" s="1">
        <f t="shared" si="2"/>
        <v>2</v>
      </c>
      <c r="Q28" s="18">
        <v>5</v>
      </c>
      <c r="R28" s="18">
        <v>3</v>
      </c>
      <c r="S28" s="18" t="s">
        <v>210</v>
      </c>
      <c r="T28" s="1" t="str">
        <f t="shared" si="0"/>
        <v>L</v>
      </c>
      <c r="U28" s="23" t="s">
        <v>207</v>
      </c>
    </row>
    <row r="29" spans="1:22" ht="45" x14ac:dyDescent="0.25">
      <c r="A29" s="1">
        <v>65</v>
      </c>
      <c r="B29" s="1" t="s">
        <v>139</v>
      </c>
      <c r="C29" s="3">
        <v>1</v>
      </c>
      <c r="D29" s="3">
        <v>2.5</v>
      </c>
      <c r="E29" s="2" t="s">
        <v>53</v>
      </c>
      <c r="F29" s="1" t="s">
        <v>140</v>
      </c>
      <c r="I29" s="1" t="s">
        <v>235</v>
      </c>
      <c r="J29" s="2" t="s">
        <v>261</v>
      </c>
      <c r="L29" s="1">
        <v>1</v>
      </c>
      <c r="M29" s="1">
        <v>1</v>
      </c>
      <c r="N29" s="1">
        <v>1</v>
      </c>
      <c r="O29" s="1">
        <v>1</v>
      </c>
      <c r="P29" s="1">
        <f t="shared" si="2"/>
        <v>1</v>
      </c>
      <c r="Q29" s="18">
        <v>5</v>
      </c>
      <c r="R29" s="18">
        <v>3</v>
      </c>
      <c r="S29" s="18" t="s">
        <v>215</v>
      </c>
      <c r="T29" s="1" t="str">
        <f t="shared" si="0"/>
        <v>L</v>
      </c>
      <c r="U29" s="23" t="s">
        <v>216</v>
      </c>
    </row>
    <row r="30" spans="1:22" ht="30" x14ac:dyDescent="0.25">
      <c r="A30" s="1">
        <v>25</v>
      </c>
      <c r="B30" s="3" t="s">
        <v>75</v>
      </c>
      <c r="C30" s="3">
        <v>3</v>
      </c>
      <c r="D30" s="3">
        <v>2.7</v>
      </c>
      <c r="E30" s="2" t="s">
        <v>53</v>
      </c>
      <c r="G30" s="2" t="s">
        <v>73</v>
      </c>
      <c r="K30" s="1" t="s">
        <v>109</v>
      </c>
      <c r="L30" s="1">
        <v>3</v>
      </c>
      <c r="M30" s="1">
        <v>2</v>
      </c>
      <c r="N30" s="1">
        <v>0</v>
      </c>
      <c r="O30" s="1">
        <v>1</v>
      </c>
      <c r="P30" s="1">
        <f t="shared" si="2"/>
        <v>0</v>
      </c>
      <c r="Q30" s="18">
        <v>5</v>
      </c>
      <c r="R30" s="18">
        <v>3</v>
      </c>
      <c r="S30" s="18"/>
      <c r="T30" s="1" t="str">
        <f t="shared" si="0"/>
        <v>-</v>
      </c>
      <c r="U30" s="21" t="s">
        <v>185</v>
      </c>
    </row>
    <row r="31" spans="1:22" ht="30" x14ac:dyDescent="0.25">
      <c r="A31" s="1">
        <v>36</v>
      </c>
      <c r="B31" s="3" t="s">
        <v>31</v>
      </c>
      <c r="C31" s="3">
        <v>3</v>
      </c>
      <c r="D31" s="3">
        <v>2.7</v>
      </c>
      <c r="E31" s="5" t="s">
        <v>53</v>
      </c>
      <c r="G31" s="2" t="s">
        <v>73</v>
      </c>
      <c r="K31" s="1" t="s">
        <v>108</v>
      </c>
      <c r="L31" s="1">
        <v>2</v>
      </c>
      <c r="M31" s="1">
        <v>5</v>
      </c>
      <c r="N31" s="1">
        <v>0</v>
      </c>
      <c r="O31" s="1">
        <v>1</v>
      </c>
      <c r="P31" s="1">
        <f t="shared" si="2"/>
        <v>0</v>
      </c>
      <c r="Q31" s="18">
        <v>5</v>
      </c>
      <c r="R31" s="18">
        <v>3</v>
      </c>
      <c r="S31" s="18"/>
      <c r="T31" s="1" t="str">
        <f t="shared" si="0"/>
        <v>-</v>
      </c>
      <c r="U31" s="21" t="s">
        <v>185</v>
      </c>
    </row>
    <row r="32" spans="1:22" ht="30" x14ac:dyDescent="0.25">
      <c r="A32" s="1">
        <v>50</v>
      </c>
      <c r="B32" s="3" t="s">
        <v>45</v>
      </c>
      <c r="C32" s="3">
        <v>3</v>
      </c>
      <c r="D32" s="3">
        <v>2.7</v>
      </c>
      <c r="E32" s="5" t="s">
        <v>86</v>
      </c>
      <c r="G32" s="1" t="s">
        <v>80</v>
      </c>
      <c r="K32" s="1" t="s">
        <v>96</v>
      </c>
      <c r="L32" s="1">
        <v>1</v>
      </c>
      <c r="M32" s="1">
        <v>3</v>
      </c>
      <c r="N32" s="1">
        <v>1</v>
      </c>
      <c r="O32" s="1">
        <v>1</v>
      </c>
      <c r="P32" s="1">
        <f t="shared" si="2"/>
        <v>3</v>
      </c>
      <c r="Q32" s="18">
        <v>5</v>
      </c>
      <c r="R32" s="18">
        <v>3</v>
      </c>
      <c r="S32" s="18" t="s">
        <v>204</v>
      </c>
      <c r="T32" s="1" t="str">
        <f t="shared" si="0"/>
        <v>-</v>
      </c>
      <c r="U32" s="21" t="s">
        <v>205</v>
      </c>
    </row>
    <row r="33" spans="1:21" ht="30" x14ac:dyDescent="0.25">
      <c r="A33" s="1">
        <v>46</v>
      </c>
      <c r="B33" s="3" t="s">
        <v>41</v>
      </c>
      <c r="C33" s="3">
        <v>2</v>
      </c>
      <c r="D33" s="3">
        <v>2.7</v>
      </c>
      <c r="E33" s="2" t="s">
        <v>53</v>
      </c>
      <c r="G33" s="1" t="s">
        <v>77</v>
      </c>
      <c r="I33" s="12" t="s">
        <v>168</v>
      </c>
      <c r="J33" s="12"/>
      <c r="K33" s="1" t="s">
        <v>167</v>
      </c>
      <c r="L33" s="1">
        <v>1</v>
      </c>
      <c r="M33" s="1">
        <v>1</v>
      </c>
      <c r="N33" s="1">
        <v>1</v>
      </c>
      <c r="O33" s="1">
        <v>1</v>
      </c>
      <c r="P33" s="1">
        <f t="shared" si="2"/>
        <v>1</v>
      </c>
      <c r="Q33" s="22" t="s">
        <v>146</v>
      </c>
      <c r="R33" s="22" t="s">
        <v>146</v>
      </c>
      <c r="S33" s="22"/>
      <c r="T33" s="1" t="str">
        <f t="shared" si="0"/>
        <v>?</v>
      </c>
      <c r="U33" s="1" t="s">
        <v>203</v>
      </c>
    </row>
    <row r="34" spans="1:21" ht="30" x14ac:dyDescent="0.25">
      <c r="A34" s="1">
        <v>19</v>
      </c>
      <c r="B34" s="3" t="s">
        <v>17</v>
      </c>
      <c r="C34" s="3">
        <v>3</v>
      </c>
      <c r="D34" s="3">
        <v>2.7</v>
      </c>
      <c r="E34" s="5" t="s">
        <v>55</v>
      </c>
      <c r="L34" s="1">
        <v>1</v>
      </c>
      <c r="M34" s="1">
        <v>3</v>
      </c>
      <c r="N34" s="1">
        <v>1</v>
      </c>
      <c r="O34" s="1">
        <v>1</v>
      </c>
      <c r="P34" s="1">
        <f t="shared" si="2"/>
        <v>3</v>
      </c>
      <c r="Q34" s="22" t="s">
        <v>146</v>
      </c>
      <c r="R34" s="22" t="s">
        <v>146</v>
      </c>
      <c r="S34" s="22" t="s">
        <v>194</v>
      </c>
      <c r="T34" s="1" t="str">
        <f t="shared" si="0"/>
        <v>?</v>
      </c>
      <c r="U34" s="1" t="s">
        <v>195</v>
      </c>
    </row>
    <row r="35" spans="1:21" ht="45" x14ac:dyDescent="0.25">
      <c r="A35" s="1">
        <v>70</v>
      </c>
      <c r="B35" s="1" t="s">
        <v>161</v>
      </c>
      <c r="C35" s="15">
        <v>0</v>
      </c>
      <c r="D35" s="3" t="s">
        <v>165</v>
      </c>
      <c r="E35" s="14" t="s">
        <v>106</v>
      </c>
      <c r="F35" s="1" t="s">
        <v>162</v>
      </c>
      <c r="I35" s="14" t="s">
        <v>163</v>
      </c>
      <c r="J35" s="14"/>
      <c r="Q35" s="18"/>
      <c r="R35" s="18"/>
      <c r="S35" s="18"/>
      <c r="T35" s="1" t="str">
        <f t="shared" si="0"/>
        <v>?</v>
      </c>
    </row>
    <row r="36" spans="1:21" ht="30" x14ac:dyDescent="0.25">
      <c r="A36" s="1">
        <v>71</v>
      </c>
      <c r="B36" s="1" t="s">
        <v>164</v>
      </c>
      <c r="C36" s="15">
        <v>0</v>
      </c>
      <c r="D36" s="3">
        <v>2.5</v>
      </c>
      <c r="E36" s="14" t="s">
        <v>106</v>
      </c>
      <c r="F36" s="1" t="s">
        <v>166</v>
      </c>
      <c r="I36" s="14" t="s">
        <v>163</v>
      </c>
      <c r="J36" s="14"/>
      <c r="Q36" s="18"/>
      <c r="R36" s="18"/>
      <c r="S36" s="18"/>
      <c r="T36" s="1" t="str">
        <f t="shared" si="0"/>
        <v>?</v>
      </c>
    </row>
    <row r="37" spans="1:21" ht="45" x14ac:dyDescent="0.25">
      <c r="A37" s="1">
        <v>45</v>
      </c>
      <c r="B37" s="3" t="s">
        <v>40</v>
      </c>
      <c r="C37" s="3">
        <v>2</v>
      </c>
      <c r="D37" s="3">
        <v>2.7</v>
      </c>
      <c r="E37" s="2" t="s">
        <v>86</v>
      </c>
      <c r="F37" s="1" t="s">
        <v>151</v>
      </c>
      <c r="G37" s="1" t="s">
        <v>80</v>
      </c>
      <c r="K37" s="1" t="s">
        <v>98</v>
      </c>
      <c r="L37" s="1">
        <v>1</v>
      </c>
      <c r="M37" s="1">
        <v>2</v>
      </c>
      <c r="N37" s="1">
        <v>2</v>
      </c>
      <c r="O37" s="1">
        <v>1</v>
      </c>
      <c r="P37" s="1">
        <f t="shared" ref="P37:P72" si="3">L37*M37*N37*O37</f>
        <v>4</v>
      </c>
      <c r="Q37" s="22"/>
      <c r="R37" s="22"/>
      <c r="S37" s="22" t="s">
        <v>202</v>
      </c>
      <c r="T37" s="1" t="str">
        <f t="shared" si="0"/>
        <v>?</v>
      </c>
      <c r="U37" s="1" t="s">
        <v>195</v>
      </c>
    </row>
    <row r="38" spans="1:21" ht="45" x14ac:dyDescent="0.25">
      <c r="A38" s="1">
        <v>60</v>
      </c>
      <c r="B38" s="1" t="s">
        <v>107</v>
      </c>
      <c r="C38" s="3">
        <v>2</v>
      </c>
      <c r="D38" s="3">
        <v>2.7</v>
      </c>
      <c r="E38" s="5" t="s">
        <v>53</v>
      </c>
      <c r="K38" s="1" t="s">
        <v>111</v>
      </c>
      <c r="L38" s="1">
        <v>1</v>
      </c>
      <c r="M38" s="1">
        <v>3</v>
      </c>
      <c r="N38" s="1">
        <v>1</v>
      </c>
      <c r="O38" s="1">
        <v>1</v>
      </c>
      <c r="P38" s="1">
        <f t="shared" si="3"/>
        <v>3</v>
      </c>
      <c r="Q38" s="22"/>
      <c r="R38" s="22"/>
      <c r="S38" s="22" t="s">
        <v>202</v>
      </c>
      <c r="T38" s="1" t="str">
        <f t="shared" si="0"/>
        <v>?</v>
      </c>
      <c r="U38" s="1" t="s">
        <v>195</v>
      </c>
    </row>
    <row r="39" spans="1:21" x14ac:dyDescent="0.25">
      <c r="A39" s="1">
        <v>1</v>
      </c>
      <c r="B39" s="3" t="s">
        <v>1</v>
      </c>
      <c r="C39" s="3"/>
      <c r="D39" s="3" t="s">
        <v>146</v>
      </c>
      <c r="E39" s="5"/>
      <c r="L39" s="1">
        <v>2</v>
      </c>
      <c r="M39" s="1">
        <v>3</v>
      </c>
      <c r="N39" s="1">
        <v>1</v>
      </c>
      <c r="O39" s="1">
        <v>5</v>
      </c>
      <c r="P39" s="1">
        <f t="shared" si="3"/>
        <v>30</v>
      </c>
      <c r="Q39" s="18"/>
      <c r="R39" s="18"/>
      <c r="S39" s="18"/>
    </row>
    <row r="40" spans="1:21" x14ac:dyDescent="0.25">
      <c r="A40" s="1">
        <v>3</v>
      </c>
      <c r="B40" s="3" t="s">
        <v>3</v>
      </c>
      <c r="C40" s="3"/>
      <c r="D40" s="3" t="s">
        <v>146</v>
      </c>
      <c r="E40" s="5"/>
      <c r="L40" s="1">
        <v>1</v>
      </c>
      <c r="M40" s="1">
        <v>3</v>
      </c>
      <c r="N40" s="1">
        <v>1</v>
      </c>
      <c r="O40" s="1">
        <v>5</v>
      </c>
      <c r="P40" s="1">
        <f t="shared" si="3"/>
        <v>15</v>
      </c>
      <c r="Q40" s="18"/>
      <c r="R40" s="18"/>
      <c r="S40" s="18"/>
    </row>
    <row r="41" spans="1:21" x14ac:dyDescent="0.25">
      <c r="A41" s="1">
        <v>4</v>
      </c>
      <c r="B41" s="3" t="s">
        <v>4</v>
      </c>
      <c r="C41" s="3"/>
      <c r="D41" s="3" t="s">
        <v>146</v>
      </c>
      <c r="E41" s="2"/>
      <c r="L41" s="1">
        <v>2</v>
      </c>
      <c r="M41" s="1">
        <v>2</v>
      </c>
      <c r="N41" s="1">
        <v>2</v>
      </c>
      <c r="O41" s="1">
        <v>5</v>
      </c>
      <c r="P41" s="1">
        <f t="shared" si="3"/>
        <v>40</v>
      </c>
      <c r="Q41" s="18"/>
      <c r="R41" s="18"/>
      <c r="S41" s="18"/>
    </row>
    <row r="42" spans="1:21" x14ac:dyDescent="0.25">
      <c r="A42" s="1">
        <v>6</v>
      </c>
      <c r="B42" s="3" t="s">
        <v>6</v>
      </c>
      <c r="C42" s="3"/>
      <c r="D42" s="3" t="s">
        <v>146</v>
      </c>
      <c r="E42" s="5"/>
      <c r="F42" s="1" t="s">
        <v>71</v>
      </c>
      <c r="L42" s="1">
        <v>2</v>
      </c>
      <c r="M42" s="1">
        <v>3</v>
      </c>
      <c r="N42" s="1">
        <v>2</v>
      </c>
      <c r="O42" s="1">
        <v>5</v>
      </c>
      <c r="P42" s="1">
        <f t="shared" si="3"/>
        <v>60</v>
      </c>
      <c r="Q42" s="18"/>
      <c r="R42" s="18"/>
      <c r="S42" s="18"/>
    </row>
    <row r="43" spans="1:21" x14ac:dyDescent="0.25">
      <c r="A43" s="1">
        <v>11</v>
      </c>
      <c r="B43" s="3" t="s">
        <v>9</v>
      </c>
      <c r="C43" s="3"/>
      <c r="D43" s="3" t="s">
        <v>146</v>
      </c>
      <c r="E43" s="2"/>
      <c r="L43" s="1">
        <v>2</v>
      </c>
      <c r="M43" s="1">
        <v>2</v>
      </c>
      <c r="N43" s="1">
        <v>1</v>
      </c>
      <c r="O43" s="1">
        <v>5</v>
      </c>
      <c r="P43" s="1">
        <f t="shared" si="3"/>
        <v>20</v>
      </c>
      <c r="Q43" s="18"/>
      <c r="R43" s="18"/>
      <c r="S43" s="18"/>
    </row>
    <row r="44" spans="1:21" x14ac:dyDescent="0.25">
      <c r="A44" s="1">
        <v>14</v>
      </c>
      <c r="B44" s="3" t="s">
        <v>12</v>
      </c>
      <c r="C44" s="3"/>
      <c r="D44" s="3" t="s">
        <v>146</v>
      </c>
      <c r="E44" s="5"/>
      <c r="L44" s="1">
        <v>1</v>
      </c>
      <c r="M44" s="1">
        <v>3</v>
      </c>
      <c r="N44" s="1">
        <v>1</v>
      </c>
      <c r="O44" s="1">
        <v>5</v>
      </c>
      <c r="P44" s="1">
        <f t="shared" si="3"/>
        <v>15</v>
      </c>
      <c r="Q44" s="18"/>
      <c r="R44" s="18"/>
      <c r="S44" s="18"/>
    </row>
    <row r="45" spans="1:21" x14ac:dyDescent="0.25">
      <c r="A45" s="1">
        <v>16</v>
      </c>
      <c r="B45" s="3" t="s">
        <v>14</v>
      </c>
      <c r="C45" s="3"/>
      <c r="D45" s="3" t="s">
        <v>146</v>
      </c>
      <c r="E45" s="2"/>
      <c r="K45" s="1" t="s">
        <v>99</v>
      </c>
      <c r="L45" s="1">
        <v>2</v>
      </c>
      <c r="M45" s="1">
        <v>1</v>
      </c>
      <c r="N45" s="1">
        <v>1</v>
      </c>
      <c r="O45" s="1">
        <v>5</v>
      </c>
      <c r="P45" s="1">
        <f t="shared" si="3"/>
        <v>10</v>
      </c>
      <c r="Q45" s="18"/>
      <c r="R45" s="18"/>
      <c r="S45" s="18"/>
    </row>
    <row r="46" spans="1:21" x14ac:dyDescent="0.25">
      <c r="A46" s="1">
        <v>17</v>
      </c>
      <c r="B46" s="3" t="s">
        <v>15</v>
      </c>
      <c r="C46" s="3"/>
      <c r="D46" s="3" t="s">
        <v>146</v>
      </c>
      <c r="E46" s="2"/>
      <c r="L46" s="1">
        <v>2</v>
      </c>
      <c r="M46" s="1">
        <v>2</v>
      </c>
      <c r="N46" s="1">
        <v>2</v>
      </c>
      <c r="O46" s="1">
        <v>5</v>
      </c>
      <c r="P46" s="1">
        <f t="shared" si="3"/>
        <v>40</v>
      </c>
      <c r="Q46" s="18"/>
      <c r="R46" s="18"/>
      <c r="S46" s="18"/>
    </row>
    <row r="47" spans="1:21" x14ac:dyDescent="0.25">
      <c r="A47" s="1">
        <v>20</v>
      </c>
      <c r="B47" s="3" t="s">
        <v>18</v>
      </c>
      <c r="C47" s="3"/>
      <c r="D47" s="3" t="s">
        <v>146</v>
      </c>
      <c r="E47" s="5"/>
      <c r="L47" s="1">
        <v>2</v>
      </c>
      <c r="M47" s="1">
        <v>4</v>
      </c>
      <c r="N47" s="1">
        <v>2</v>
      </c>
      <c r="O47" s="1">
        <v>5</v>
      </c>
      <c r="P47" s="1">
        <f t="shared" si="3"/>
        <v>80</v>
      </c>
      <c r="Q47" s="18"/>
      <c r="R47" s="18"/>
      <c r="S47" s="18"/>
    </row>
    <row r="48" spans="1:21" x14ac:dyDescent="0.25">
      <c r="A48" s="1">
        <v>21</v>
      </c>
      <c r="B48" s="3" t="s">
        <v>19</v>
      </c>
      <c r="C48" s="3"/>
      <c r="D48" s="3" t="s">
        <v>146</v>
      </c>
      <c r="E48" s="2"/>
      <c r="L48" s="1">
        <v>2</v>
      </c>
      <c r="M48" s="1">
        <v>1</v>
      </c>
      <c r="N48" s="1">
        <v>2</v>
      </c>
      <c r="O48" s="1">
        <v>5</v>
      </c>
      <c r="P48" s="1">
        <f t="shared" si="3"/>
        <v>20</v>
      </c>
      <c r="Q48" s="18"/>
      <c r="R48" s="18"/>
      <c r="S48" s="18"/>
    </row>
    <row r="49" spans="1:19" x14ac:dyDescent="0.25">
      <c r="A49" s="1">
        <v>22</v>
      </c>
      <c r="B49" s="3" t="s">
        <v>20</v>
      </c>
      <c r="C49" s="3"/>
      <c r="D49" s="3" t="s">
        <v>146</v>
      </c>
      <c r="E49" s="2"/>
      <c r="L49" s="1">
        <v>2</v>
      </c>
      <c r="M49" s="1">
        <v>2</v>
      </c>
      <c r="N49" s="1">
        <v>1</v>
      </c>
      <c r="O49" s="1">
        <v>5</v>
      </c>
      <c r="P49" s="1">
        <f t="shared" si="3"/>
        <v>20</v>
      </c>
      <c r="Q49" s="18"/>
      <c r="R49" s="18"/>
      <c r="S49" s="18"/>
    </row>
    <row r="50" spans="1:19" x14ac:dyDescent="0.25">
      <c r="A50" s="1">
        <v>23</v>
      </c>
      <c r="B50" s="3" t="s">
        <v>21</v>
      </c>
      <c r="C50" s="3"/>
      <c r="D50" s="3" t="s">
        <v>146</v>
      </c>
      <c r="E50" s="2"/>
      <c r="L50" s="1">
        <v>2</v>
      </c>
      <c r="M50" s="1">
        <v>2</v>
      </c>
      <c r="N50" s="1">
        <v>1</v>
      </c>
      <c r="O50" s="1">
        <v>5</v>
      </c>
      <c r="P50" s="1">
        <f t="shared" si="3"/>
        <v>20</v>
      </c>
      <c r="Q50" s="18"/>
      <c r="R50" s="18"/>
      <c r="S50" s="18"/>
    </row>
    <row r="51" spans="1:19" x14ac:dyDescent="0.25">
      <c r="A51" s="1">
        <v>24</v>
      </c>
      <c r="B51" s="3" t="s">
        <v>22</v>
      </c>
      <c r="C51" s="3"/>
      <c r="D51" s="3" t="s">
        <v>146</v>
      </c>
      <c r="E51" s="5"/>
      <c r="L51" s="1">
        <v>2</v>
      </c>
      <c r="M51" s="1">
        <v>3</v>
      </c>
      <c r="N51" s="1">
        <v>1</v>
      </c>
      <c r="O51" s="1">
        <v>5</v>
      </c>
      <c r="P51" s="1">
        <f t="shared" si="3"/>
        <v>30</v>
      </c>
      <c r="Q51" s="18"/>
      <c r="R51" s="18"/>
      <c r="S51" s="18"/>
    </row>
    <row r="52" spans="1:19" x14ac:dyDescent="0.25">
      <c r="A52" s="1">
        <v>26</v>
      </c>
      <c r="B52" s="3" t="s">
        <v>23</v>
      </c>
      <c r="C52" s="3"/>
      <c r="D52" s="3" t="s">
        <v>146</v>
      </c>
      <c r="E52" s="2"/>
      <c r="L52" s="1">
        <v>2</v>
      </c>
      <c r="M52" s="1">
        <v>2</v>
      </c>
      <c r="N52" s="1">
        <v>2</v>
      </c>
      <c r="O52" s="1">
        <v>5</v>
      </c>
      <c r="P52" s="1">
        <f t="shared" si="3"/>
        <v>40</v>
      </c>
      <c r="Q52" s="18"/>
      <c r="R52" s="18"/>
      <c r="S52" s="18"/>
    </row>
    <row r="53" spans="1:19" x14ac:dyDescent="0.25">
      <c r="A53" s="1">
        <v>27</v>
      </c>
      <c r="B53" s="3" t="s">
        <v>24</v>
      </c>
      <c r="C53" s="3"/>
      <c r="D53" s="3" t="s">
        <v>146</v>
      </c>
      <c r="E53" s="2"/>
      <c r="L53" s="1">
        <v>2</v>
      </c>
      <c r="M53" s="1">
        <v>2</v>
      </c>
      <c r="N53" s="1">
        <v>1</v>
      </c>
      <c r="O53" s="1">
        <v>5</v>
      </c>
      <c r="P53" s="1">
        <f t="shared" si="3"/>
        <v>20</v>
      </c>
      <c r="Q53" s="18"/>
      <c r="R53" s="18"/>
      <c r="S53" s="18"/>
    </row>
    <row r="54" spans="1:19" x14ac:dyDescent="0.25">
      <c r="A54" s="1">
        <v>28</v>
      </c>
      <c r="B54" s="3" t="s">
        <v>25</v>
      </c>
      <c r="C54" s="3"/>
      <c r="D54" s="3" t="s">
        <v>146</v>
      </c>
      <c r="E54" s="2"/>
      <c r="L54" s="1">
        <v>2</v>
      </c>
      <c r="M54" s="1">
        <v>2</v>
      </c>
      <c r="N54" s="1">
        <v>1</v>
      </c>
      <c r="O54" s="1">
        <v>5</v>
      </c>
      <c r="P54" s="1">
        <f t="shared" si="3"/>
        <v>20</v>
      </c>
      <c r="Q54" s="18"/>
      <c r="R54" s="18"/>
      <c r="S54" s="18"/>
    </row>
    <row r="55" spans="1:19" x14ac:dyDescent="0.25">
      <c r="A55" s="1">
        <v>29</v>
      </c>
      <c r="B55" s="3" t="s">
        <v>26</v>
      </c>
      <c r="C55" s="3"/>
      <c r="D55" s="3" t="s">
        <v>146</v>
      </c>
      <c r="E55" s="5"/>
      <c r="L55" s="1">
        <v>2</v>
      </c>
      <c r="M55" s="1">
        <v>3</v>
      </c>
      <c r="N55" s="1">
        <v>1</v>
      </c>
      <c r="O55" s="1">
        <v>5</v>
      </c>
      <c r="P55" s="1">
        <f t="shared" si="3"/>
        <v>30</v>
      </c>
      <c r="Q55" s="18"/>
      <c r="R55" s="18"/>
      <c r="S55" s="18"/>
    </row>
    <row r="56" spans="1:19" x14ac:dyDescent="0.25">
      <c r="A56" s="1">
        <v>32</v>
      </c>
      <c r="B56" s="3" t="s">
        <v>28</v>
      </c>
      <c r="C56" s="3"/>
      <c r="D56" s="3" t="s">
        <v>146</v>
      </c>
      <c r="E56" s="2"/>
      <c r="L56" s="1">
        <v>2</v>
      </c>
      <c r="M56" s="1">
        <v>1</v>
      </c>
      <c r="N56" s="1">
        <v>1</v>
      </c>
      <c r="O56" s="1">
        <v>5</v>
      </c>
      <c r="P56" s="1">
        <f t="shared" si="3"/>
        <v>10</v>
      </c>
      <c r="Q56" s="18"/>
      <c r="R56" s="18"/>
      <c r="S56" s="18"/>
    </row>
    <row r="57" spans="1:19" x14ac:dyDescent="0.25">
      <c r="A57" s="1">
        <v>33</v>
      </c>
      <c r="B57" s="3" t="s">
        <v>29</v>
      </c>
      <c r="C57" s="3"/>
      <c r="D57" s="3" t="s">
        <v>146</v>
      </c>
      <c r="E57" s="5"/>
      <c r="L57" s="1">
        <v>2</v>
      </c>
      <c r="M57" s="1">
        <v>3</v>
      </c>
      <c r="N57" s="1">
        <v>1</v>
      </c>
      <c r="O57" s="1">
        <v>5</v>
      </c>
      <c r="P57" s="1">
        <f t="shared" si="3"/>
        <v>30</v>
      </c>
      <c r="Q57" s="18"/>
      <c r="R57" s="18"/>
      <c r="S57" s="18"/>
    </row>
    <row r="58" spans="1:19" x14ac:dyDescent="0.25">
      <c r="A58" s="1">
        <v>34</v>
      </c>
      <c r="B58" s="4" t="s">
        <v>16</v>
      </c>
      <c r="C58" s="4"/>
      <c r="D58" s="3" t="s">
        <v>146</v>
      </c>
      <c r="E58" s="2"/>
      <c r="K58" s="1" t="s">
        <v>113</v>
      </c>
      <c r="L58" s="1">
        <v>2</v>
      </c>
      <c r="M58" s="1">
        <v>1</v>
      </c>
      <c r="N58" s="1">
        <v>1</v>
      </c>
      <c r="O58" s="1">
        <v>99</v>
      </c>
      <c r="P58" s="1">
        <f t="shared" si="3"/>
        <v>198</v>
      </c>
      <c r="Q58" s="18"/>
      <c r="R58" s="18"/>
      <c r="S58" s="18"/>
    </row>
    <row r="59" spans="1:19" x14ac:dyDescent="0.25">
      <c r="A59" s="1">
        <v>35</v>
      </c>
      <c r="B59" s="4" t="s">
        <v>30</v>
      </c>
      <c r="C59" s="4"/>
      <c r="D59" s="3" t="s">
        <v>146</v>
      </c>
      <c r="E59" s="2"/>
      <c r="K59" s="1" t="s">
        <v>114</v>
      </c>
      <c r="L59" s="1">
        <v>2</v>
      </c>
      <c r="M59" s="1">
        <v>1</v>
      </c>
      <c r="N59" s="1">
        <v>1</v>
      </c>
      <c r="O59" s="1">
        <v>99</v>
      </c>
      <c r="P59" s="1">
        <f t="shared" si="3"/>
        <v>198</v>
      </c>
      <c r="Q59" s="18"/>
      <c r="R59" s="18"/>
      <c r="S59" s="18"/>
    </row>
    <row r="60" spans="1:19" x14ac:dyDescent="0.25">
      <c r="A60" s="1">
        <v>37</v>
      </c>
      <c r="B60" s="3" t="s">
        <v>32</v>
      </c>
      <c r="C60" s="3"/>
      <c r="D60" s="3" t="s">
        <v>146</v>
      </c>
      <c r="E60" s="2"/>
      <c r="L60" s="1">
        <v>2</v>
      </c>
      <c r="M60" s="1">
        <v>2</v>
      </c>
      <c r="N60" s="1">
        <v>2</v>
      </c>
      <c r="O60" s="1">
        <v>5</v>
      </c>
      <c r="P60" s="1">
        <f t="shared" si="3"/>
        <v>40</v>
      </c>
      <c r="Q60" s="18"/>
      <c r="R60" s="18"/>
      <c r="S60" s="18"/>
    </row>
    <row r="61" spans="1:19" x14ac:dyDescent="0.25">
      <c r="A61" s="1">
        <v>40</v>
      </c>
      <c r="B61" s="3" t="s">
        <v>35</v>
      </c>
      <c r="C61" s="3"/>
      <c r="D61" s="3" t="s">
        <v>146</v>
      </c>
      <c r="E61" s="5"/>
      <c r="L61" s="1">
        <v>2</v>
      </c>
      <c r="M61" s="1">
        <v>3</v>
      </c>
      <c r="N61" s="1">
        <v>1</v>
      </c>
      <c r="O61" s="1">
        <v>5</v>
      </c>
      <c r="P61" s="1">
        <f t="shared" si="3"/>
        <v>30</v>
      </c>
      <c r="Q61" s="18"/>
      <c r="R61" s="18"/>
      <c r="S61" s="18"/>
    </row>
    <row r="62" spans="1:19" x14ac:dyDescent="0.25">
      <c r="A62" s="1">
        <v>41</v>
      </c>
      <c r="B62" s="3" t="s">
        <v>36</v>
      </c>
      <c r="C62" s="3"/>
      <c r="D62" s="3" t="s">
        <v>146</v>
      </c>
      <c r="E62" s="5"/>
      <c r="L62" s="1">
        <v>2</v>
      </c>
      <c r="M62" s="1">
        <v>3</v>
      </c>
      <c r="N62" s="1">
        <v>1</v>
      </c>
      <c r="O62" s="1">
        <v>5</v>
      </c>
      <c r="P62" s="1">
        <f t="shared" si="3"/>
        <v>30</v>
      </c>
      <c r="Q62" s="18"/>
      <c r="R62" s="18"/>
      <c r="S62" s="18"/>
    </row>
    <row r="63" spans="1:19" x14ac:dyDescent="0.25">
      <c r="A63" s="1">
        <v>42</v>
      </c>
      <c r="B63" s="3" t="s">
        <v>37</v>
      </c>
      <c r="C63" s="3"/>
      <c r="D63" s="3" t="s">
        <v>146</v>
      </c>
      <c r="E63" s="5"/>
      <c r="H63" s="10" t="s">
        <v>117</v>
      </c>
      <c r="I63" s="10"/>
      <c r="J63" s="10"/>
      <c r="L63" s="1">
        <v>2</v>
      </c>
      <c r="M63" s="1">
        <v>3</v>
      </c>
      <c r="N63" s="1">
        <v>1</v>
      </c>
      <c r="O63" s="1">
        <v>5</v>
      </c>
      <c r="P63" s="1">
        <f t="shared" si="3"/>
        <v>30</v>
      </c>
      <c r="Q63" s="18"/>
      <c r="R63" s="18"/>
      <c r="S63" s="18"/>
    </row>
    <row r="64" spans="1:19" x14ac:dyDescent="0.25">
      <c r="A64" s="1">
        <v>43</v>
      </c>
      <c r="B64" s="3" t="s">
        <v>38</v>
      </c>
      <c r="C64" s="3"/>
      <c r="D64" s="3" t="s">
        <v>146</v>
      </c>
      <c r="E64" s="5"/>
      <c r="L64" s="1">
        <v>2</v>
      </c>
      <c r="M64" s="1">
        <v>3</v>
      </c>
      <c r="N64" s="1">
        <v>1</v>
      </c>
      <c r="O64" s="1">
        <v>5</v>
      </c>
      <c r="P64" s="1">
        <f t="shared" si="3"/>
        <v>30</v>
      </c>
      <c r="Q64" s="18"/>
      <c r="R64" s="18"/>
      <c r="S64" s="18"/>
    </row>
    <row r="65" spans="1:19" x14ac:dyDescent="0.25">
      <c r="A65" s="1">
        <v>44</v>
      </c>
      <c r="B65" s="3" t="s">
        <v>39</v>
      </c>
      <c r="C65" s="3"/>
      <c r="D65" s="3" t="s">
        <v>146</v>
      </c>
      <c r="E65" s="5"/>
      <c r="L65" s="1">
        <v>2</v>
      </c>
      <c r="M65" s="1">
        <v>3</v>
      </c>
      <c r="N65" s="1">
        <v>1</v>
      </c>
      <c r="O65" s="1">
        <v>5</v>
      </c>
      <c r="P65" s="1">
        <f t="shared" si="3"/>
        <v>30</v>
      </c>
      <c r="Q65" s="18"/>
      <c r="R65" s="18"/>
      <c r="S65" s="18"/>
    </row>
    <row r="66" spans="1:19" ht="30" x14ac:dyDescent="0.25">
      <c r="A66" s="1">
        <v>47</v>
      </c>
      <c r="B66" s="3" t="s">
        <v>42</v>
      </c>
      <c r="C66" s="3"/>
      <c r="D66" s="3" t="s">
        <v>146</v>
      </c>
      <c r="E66" s="2"/>
      <c r="L66" s="1">
        <v>2</v>
      </c>
      <c r="M66" s="1">
        <v>2</v>
      </c>
      <c r="N66" s="1">
        <v>1</v>
      </c>
      <c r="O66" s="1">
        <v>5</v>
      </c>
      <c r="P66" s="1">
        <f t="shared" si="3"/>
        <v>20</v>
      </c>
      <c r="Q66" s="18"/>
      <c r="R66" s="18"/>
      <c r="S66" s="18"/>
    </row>
    <row r="67" spans="1:19" ht="30" x14ac:dyDescent="0.25">
      <c r="A67" s="1">
        <v>48</v>
      </c>
      <c r="B67" s="3" t="s">
        <v>43</v>
      </c>
      <c r="C67" s="3"/>
      <c r="D67" s="3" t="s">
        <v>146</v>
      </c>
      <c r="E67" s="5"/>
      <c r="L67" s="1">
        <v>2</v>
      </c>
      <c r="M67" s="1">
        <v>3</v>
      </c>
      <c r="N67" s="1">
        <v>1</v>
      </c>
      <c r="O67" s="1">
        <v>5</v>
      </c>
      <c r="P67" s="1">
        <f t="shared" si="3"/>
        <v>30</v>
      </c>
      <c r="Q67" s="18"/>
      <c r="R67" s="18"/>
      <c r="S67" s="18"/>
    </row>
    <row r="68" spans="1:19" x14ac:dyDescent="0.25">
      <c r="A68" s="1">
        <v>49</v>
      </c>
      <c r="B68" s="3" t="s">
        <v>44</v>
      </c>
      <c r="C68" s="3"/>
      <c r="D68" s="3" t="s">
        <v>146</v>
      </c>
      <c r="E68" s="5"/>
      <c r="L68" s="1">
        <v>2</v>
      </c>
      <c r="M68" s="1">
        <v>3</v>
      </c>
      <c r="N68" s="1">
        <v>1</v>
      </c>
      <c r="O68" s="1">
        <v>5</v>
      </c>
      <c r="P68" s="1">
        <f t="shared" si="3"/>
        <v>30</v>
      </c>
      <c r="Q68" s="18"/>
      <c r="R68" s="18"/>
      <c r="S68" s="18"/>
    </row>
    <row r="69" spans="1:19" x14ac:dyDescent="0.25">
      <c r="A69" s="6">
        <v>51</v>
      </c>
      <c r="B69" s="4" t="s">
        <v>46</v>
      </c>
      <c r="C69" s="4"/>
      <c r="D69" s="3" t="s">
        <v>146</v>
      </c>
      <c r="E69" s="7"/>
      <c r="F69" s="6"/>
      <c r="G69" s="6"/>
      <c r="H69" s="6"/>
      <c r="I69" s="6"/>
      <c r="J69" s="6"/>
      <c r="K69" s="1" t="s">
        <v>105</v>
      </c>
      <c r="L69" s="1">
        <v>2</v>
      </c>
      <c r="M69" s="6">
        <v>1</v>
      </c>
      <c r="N69" s="6">
        <v>1</v>
      </c>
      <c r="O69" s="6">
        <v>99</v>
      </c>
      <c r="P69" s="1">
        <f t="shared" si="3"/>
        <v>198</v>
      </c>
      <c r="Q69" s="18"/>
      <c r="R69" s="18"/>
      <c r="S69" s="18"/>
    </row>
    <row r="70" spans="1:19" x14ac:dyDescent="0.25">
      <c r="A70" s="1">
        <v>52</v>
      </c>
      <c r="B70" s="3" t="s">
        <v>47</v>
      </c>
      <c r="C70" s="3"/>
      <c r="D70" s="3" t="s">
        <v>146</v>
      </c>
      <c r="E70" s="5"/>
      <c r="L70" s="1">
        <v>1</v>
      </c>
      <c r="M70" s="1">
        <v>3</v>
      </c>
      <c r="N70" s="1">
        <v>1</v>
      </c>
      <c r="O70" s="1">
        <v>5</v>
      </c>
      <c r="P70" s="1">
        <f t="shared" si="3"/>
        <v>15</v>
      </c>
      <c r="Q70" s="18"/>
      <c r="R70" s="18"/>
      <c r="S70" s="18"/>
    </row>
    <row r="71" spans="1:19" x14ac:dyDescent="0.25">
      <c r="A71" s="1">
        <v>55</v>
      </c>
      <c r="B71" s="1" t="s">
        <v>63</v>
      </c>
      <c r="D71" s="3" t="s">
        <v>146</v>
      </c>
      <c r="E71" s="2"/>
      <c r="F71" s="1" t="s">
        <v>66</v>
      </c>
      <c r="K71" s="1" t="s">
        <v>100</v>
      </c>
      <c r="L71" s="1">
        <v>2</v>
      </c>
      <c r="M71" s="1">
        <v>1</v>
      </c>
      <c r="N71" s="1">
        <v>1</v>
      </c>
      <c r="O71" s="1">
        <v>5</v>
      </c>
      <c r="P71" s="1">
        <f t="shared" si="3"/>
        <v>10</v>
      </c>
    </row>
    <row r="72" spans="1:19" x14ac:dyDescent="0.25">
      <c r="A72" s="1">
        <v>59</v>
      </c>
      <c r="B72" s="1" t="s">
        <v>72</v>
      </c>
      <c r="D72" s="3" t="s">
        <v>146</v>
      </c>
      <c r="E72" s="2"/>
      <c r="L72" s="1">
        <v>2</v>
      </c>
      <c r="M72" s="1">
        <v>2</v>
      </c>
      <c r="N72" s="1">
        <v>1</v>
      </c>
      <c r="O72" s="1">
        <v>5</v>
      </c>
      <c r="P72" s="1">
        <f t="shared" si="3"/>
        <v>20</v>
      </c>
    </row>
  </sheetData>
  <autoFilter ref="A1:V72" xr:uid="{074061E7-583E-48EA-BC24-50BAFA208482}">
    <sortState xmlns:xlrd2="http://schemas.microsoft.com/office/spreadsheetml/2017/richdata2" ref="A2:V72">
      <sortCondition ref="R1:R72"/>
    </sortState>
  </autoFilter>
  <phoneticPr fontId="7" type="noConversion"/>
  <conditionalFormatting sqref="M2">
    <cfRule type="colorScale" priority="4">
      <colorScale>
        <cfvo type="num" val="1"/>
        <cfvo type="num" val="2"/>
        <cfvo type="formula" val="&quot;&gt;2&quot;"/>
        <color rgb="FF00B050"/>
        <color rgb="FFFFEB84"/>
        <color rgb="FFFF0000"/>
      </colorScale>
    </cfRule>
  </conditionalFormatting>
  <conditionalFormatting sqref="T2:T38">
    <cfRule type="expression" dxfId="2" priority="1">
      <formula>$T2="L"</formula>
    </cfRule>
    <cfRule type="expression" dxfId="1" priority="2">
      <formula>$T2="H"</formula>
    </cfRule>
    <cfRule type="expression" dxfId="0" priority="3">
      <formula>$T2="-"</formula>
    </cfRule>
  </conditionalFormatting>
  <hyperlinks>
    <hyperlink ref="H8" r:id="rId1" tooltip="otcc2023.ND.001_BriefAnalysis-TapiIetfModelLinkage.pptx" display="https://github.com/Open-Network-Models-and-Interfaces-ONMI/TAPI-Activities/blob/main/ContributionsForDiscussions/otcc2023.ND.001_BriefAnalysis-TapiIetfModelLinkage.pptx" xr:uid="{DC8291FA-BBBC-4164-AFDF-A14D5C37779A}"/>
    <hyperlink ref="H13" r:id="rId2" tooltip="otcc2024.ND.002_SpotlightAndSnapshotStreams.pptx" display="https://github.com/Open-Network-Models-and-Interfaces-ONMI/TAPI-Activities/blob/main/ContributionsForDiscussions/otcc2024.ND.002_SpotlightAndSnapshotStreams.pptx" xr:uid="{DA695823-06F7-4C4D-A0BB-56A71E8AB3AA}"/>
    <hyperlink ref="H63" r:id="rId3" tooltip="otcc2023.ND.007_BasicPhysicalIntent.zip" display="https://github.com/Open-Network-Models-and-Interfaces-ONMI/TAPI-Activities/blob/main/ContributionsForDiscussions/otcc2023.ND.007_BasicPhysicalIntent.zip" xr:uid="{73726784-3406-4A32-9F90-250F1899557B}"/>
    <hyperlink ref="H18" r:id="rId4" tooltip="otcc2020.ND.010_TAPI-ConnectivityServiceComputationService.pptx" display="https://github.com/Open-Network-Models-and-Interfaces-ONMI/TAPI-Activities/blob/main/ContributionsForDiscussions/otcc2020.ND.010_TAPI-ConnectivityServiceComputationService.pptx" xr:uid="{B1E96811-E3AB-4B6A-9B71-389668390DD1}"/>
    <hyperlink ref="H12" r:id="rId5" xr:uid="{39007AE4-376B-4AFF-B690-2B1FD75ED6B2}"/>
    <hyperlink ref="H20" r:id="rId6" xr:uid="{B85E8F47-7893-459C-8DC1-8BC4AA02A23B}"/>
    <hyperlink ref="H21" r:id="rId7" xr:uid="{E38CDBF1-9601-4855-8DFD-AE8A6A3AD6BE}"/>
    <hyperlink ref="H23" r:id="rId8" xr:uid="{D578898C-48FA-4D82-82AF-E6661888BC34}"/>
    <hyperlink ref="H2" r:id="rId9" xr:uid="{09D95B53-BA52-41E5-AAC0-0F3CBDC9FC8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8B51-5DA4-40FD-88EE-74585095C32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Nigel</dc:creator>
  <cp:lastModifiedBy>Davis, Nigel</cp:lastModifiedBy>
  <dcterms:created xsi:type="dcterms:W3CDTF">2025-04-01T10:42:57Z</dcterms:created>
  <dcterms:modified xsi:type="dcterms:W3CDTF">2025-06-17T23:30:30Z</dcterms:modified>
</cp:coreProperties>
</file>