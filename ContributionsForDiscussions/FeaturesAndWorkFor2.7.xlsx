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enacorp-my.sharepoint.com/personal/ndavis_ciena_com/Documents/Documents/WorkingDocuments/BluePlanet/ApiPo/Standards/TAPI/"/>
    </mc:Choice>
  </mc:AlternateContent>
  <xr:revisionPtr revIDLastSave="348" documentId="8_{F9CDBA61-51EF-42D5-8F3D-8C6E9AD27539}" xr6:coauthVersionLast="47" xr6:coauthVersionMax="47" xr10:uidLastSave="{9F0561F4-7468-43BB-80A4-384FDC190AD2}"/>
  <bookViews>
    <workbookView xWindow="28725" yWindow="-16380" windowWidth="29040" windowHeight="16440" xr2:uid="{D3A00CA8-A9E1-4151-B235-58AE6C28BCEE}"/>
  </bookViews>
  <sheets>
    <sheet name="Sheet1" sheetId="1" r:id="rId1"/>
  </sheets>
  <definedNames>
    <definedName name="_xlnm._FilterDatabase" localSheetId="0" hidden="1">Sheet1!$A$1:$T$61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O14" i="1"/>
  <c r="O3" i="1"/>
  <c r="O36" i="1"/>
  <c r="O28" i="1"/>
  <c r="O15" i="1"/>
  <c r="O16" i="1"/>
  <c r="O47" i="1"/>
  <c r="O32" i="1"/>
  <c r="O37" i="1"/>
  <c r="O59" i="1"/>
  <c r="O21" i="1"/>
  <c r="O63" i="1"/>
  <c r="O11" i="1"/>
  <c r="O22" i="1"/>
  <c r="O13" i="1"/>
  <c r="O29" i="1"/>
  <c r="O40" i="1"/>
  <c r="O23" i="1"/>
  <c r="O33" i="1"/>
  <c r="O38" i="1"/>
  <c r="O4" i="1"/>
  <c r="O34" i="1"/>
  <c r="O60" i="1"/>
  <c r="O2" i="1"/>
  <c r="O30" i="1"/>
  <c r="O64" i="1"/>
  <c r="O41" i="1"/>
  <c r="O42" i="1"/>
  <c r="O43" i="1"/>
  <c r="O49" i="1"/>
  <c r="O24" i="1"/>
  <c r="O61" i="1"/>
  <c r="O44" i="1"/>
  <c r="O45" i="1"/>
  <c r="O50" i="1"/>
  <c r="O17" i="1"/>
  <c r="O18" i="1"/>
  <c r="O35" i="1"/>
  <c r="O51" i="1"/>
  <c r="O65" i="1"/>
  <c r="O66" i="1"/>
  <c r="O25" i="1"/>
  <c r="O62" i="1"/>
  <c r="O26" i="1"/>
  <c r="O27" i="1"/>
  <c r="O52" i="1"/>
  <c r="O53" i="1"/>
  <c r="O54" i="1"/>
  <c r="O55" i="1"/>
  <c r="O56" i="1"/>
  <c r="O20" i="1"/>
  <c r="O12" i="1"/>
  <c r="O46" i="1"/>
  <c r="O57" i="1"/>
  <c r="O58" i="1"/>
  <c r="O31" i="1"/>
  <c r="O67" i="1"/>
  <c r="O39" i="1"/>
  <c r="O48" i="1"/>
</calcChain>
</file>

<file path=xl/sharedStrings.xml><?xml version="1.0" encoding="utf-8"?>
<sst xmlns="http://schemas.openxmlformats.org/spreadsheetml/2006/main" count="227" uniqueCount="153">
  <si>
    <t>Feature</t>
  </si>
  <si>
    <t>Temporal model</t>
  </si>
  <si>
    <t>Connectivity Service and path computation service advancements (multiple alternatives, deep computations, rebalancing, including preparation for specific work beyond 2.7</t>
  </si>
  <si>
    <t>SIP/NEP capability model</t>
  </si>
  <si>
    <t>Expand on complex digital payload mappings (modular diagrams)</t>
  </si>
  <si>
    <t>Pluggable use cases (considering IETF work)</t>
  </si>
  <si>
    <t>More on 3R scenarios</t>
  </si>
  <si>
    <t>Align PM streaming with OAM model advancements</t>
  </si>
  <si>
    <t>Spotlight/snapshot stream</t>
  </si>
  <si>
    <t>Same value suppression stream</t>
  </si>
  <si>
    <t>Optical impairment alignment with IETF (compatibility issue needs to be handled)</t>
  </si>
  <si>
    <t>Power along a connection</t>
  </si>
  <si>
    <t>OAM review and refinement</t>
  </si>
  <si>
    <t>Config false issues and development of YANG profiling methods</t>
  </si>
  <si>
    <t>Remove all RPCs</t>
  </si>
  <si>
    <t>Improved documentation on POST and DELETE</t>
  </si>
  <si>
    <t>All properties conditional</t>
  </si>
  <si>
    <t>Security</t>
  </si>
  <si>
    <t>RIA improvements (monolith)</t>
  </si>
  <si>
    <t>Use case numbering elsewhere</t>
  </si>
  <si>
    <t>Multiple context</t>
  </si>
  <si>
    <t>Multi-band management extensions</t>
  </si>
  <si>
    <t>Correlation of events</t>
  </si>
  <si>
    <t>Description in YANG/UML not good in many places</t>
  </si>
  <si>
    <t>Lifecycle dependencies and aggregations</t>
  </si>
  <si>
    <t>Admin state for physical</t>
  </si>
  <si>
    <t>State propagation</t>
  </si>
  <si>
    <t>Use streaming strategy for notification reporting (existing issue)</t>
  </si>
  <si>
    <t>Manual switch operation</t>
  </si>
  <si>
    <t>Generalized task (from OAM job)</t>
  </si>
  <si>
    <t>Path computation/connectivity computation enhancements</t>
  </si>
  <si>
    <t>Spec model enhancements and development of spec language (with IETF)</t>
  </si>
  <si>
    <t>UNI modelling</t>
  </si>
  <si>
    <t>IETF Equipment assessment</t>
  </si>
  <si>
    <t>IETF Topology assessment</t>
  </si>
  <si>
    <t>Refinement of intent modelling</t>
  </si>
  <si>
    <t>Profiles and templates review and refinement</t>
  </si>
  <si>
    <t>Equipment intent</t>
  </si>
  <si>
    <t>Intent lifecycle and improvements to initialization values</t>
  </si>
  <si>
    <t>Linking intent and actual for presentation</t>
  </si>
  <si>
    <t>Requirements and use cases wrt compliance assessment</t>
  </si>
  <si>
    <t>Validate that the node-device relationship provides the opportunity for n:m.</t>
  </si>
  <si>
    <t>Modelling equipment removal when equipment is supporting services.</t>
  </si>
  <si>
    <t>Dealing with network growth, reconfiguration and equipment type transition</t>
  </si>
  <si>
    <t>Get Ethernet model from MEF</t>
  </si>
  <si>
    <t>Deprecation strategy</t>
  </si>
  <si>
    <t>Topology discovery… LLDP and TTI</t>
  </si>
  <si>
    <t>TAPI availability mechanism… GR</t>
  </si>
  <si>
    <t>Original order</t>
  </si>
  <si>
    <t>Priority
1= High</t>
  </si>
  <si>
    <t>Complexity Factor
1=Low</t>
  </si>
  <si>
    <t>Track = 0
Model=1
Info=2</t>
  </si>
  <si>
    <t>Low no. = good</t>
  </si>
  <si>
    <t>ND</t>
  </si>
  <si>
    <t>Allocated = 1
Not allocated = 5</t>
  </si>
  <si>
    <t>JS</t>
  </si>
  <si>
    <t>Issue</t>
  </si>
  <si>
    <t>#620</t>
  </si>
  <si>
    <t>ODU UUID missing in UC2b</t>
  </si>
  <si>
    <t>#611</t>
  </si>
  <si>
    <t>#607</t>
  </si>
  <si>
    <t>Correction to mandatory attributes</t>
  </si>
  <si>
    <t>#605</t>
  </si>
  <si>
    <t>Temperature should be a PM and not attribute</t>
  </si>
  <si>
    <t>Creation of interdomain links</t>
  </si>
  <si>
    <t>#600</t>
  </si>
  <si>
    <t>#601</t>
  </si>
  <si>
    <t>LLDP Snooping</t>
  </si>
  <si>
    <t>#599</t>
  </si>
  <si>
    <t>OTN Trail Trace</t>
  </si>
  <si>
    <t>#598</t>
  </si>
  <si>
    <t>#597</t>
  </si>
  <si>
    <t>Client and server uuid in connectivity service</t>
  </si>
  <si>
    <t>Monitoring task</t>
  </si>
  <si>
    <t>Where to report what (state should be separate stream/notification v delta stream/notification )</t>
  </si>
  <si>
    <t>Streaming and YANG push (considering IETF work)</t>
  </si>
  <si>
    <t>Proposal ready</t>
  </si>
  <si>
    <t>Validation</t>
  </si>
  <si>
    <t>Status</t>
  </si>
  <si>
    <t>Bug fix and strategy</t>
  </si>
  <si>
    <t>Discussion first</t>
  </si>
  <si>
    <t>Rough proposal in place for discussion</t>
  </si>
  <si>
    <t>IETF-TAPI model linkage (CEP/NEP to RFC8345 TP)</t>
  </si>
  <si>
    <t>Comment</t>
  </si>
  <si>
    <t>Both YANG and documentation</t>
  </si>
  <si>
    <t>May be no changes required</t>
  </si>
  <si>
    <t>Group (ND)</t>
  </si>
  <si>
    <t>Validation ++</t>
  </si>
  <si>
    <t>Was available for 2.5 but not implemented</t>
  </si>
  <si>
    <t>Expected to be OK</t>
  </si>
  <si>
    <t>Both 547 and remainder of min/max value in YANG</t>
  </si>
  <si>
    <t>Significant history and complexity</t>
  </si>
  <si>
    <t>Change to approach (and potential compatibility issue)</t>
  </si>
  <si>
    <t>Work under way in IETF. May cause changes in 2.7.</t>
  </si>
  <si>
    <t>Work under way in IETF. Just for info. Will be beyond 2.7. Aim is no work in TAPI.</t>
  </si>
  <si>
    <t>Work under way in IETF. Potential future change in TAPI.</t>
  </si>
  <si>
    <t>Proposed refinements in IETF. For discussion on future alignment.</t>
  </si>
  <si>
    <t>Provides an opportunity to derive current data (which is deprecated).</t>
  </si>
  <si>
    <t>May be no change in 2.7. Preparing the ground for beyond 2.7.</t>
  </si>
  <si>
    <t>May need to use any refinements to the approach in 2.7.</t>
  </si>
  <si>
    <t>This is unlikely to deliver significant feature content in 2.7 but is necessary ground work for beyond 2.7.</t>
  </si>
  <si>
    <t>Potential feature delivery in 2.7</t>
  </si>
  <si>
    <t>Expect to report on the challenges to TIP.</t>
  </si>
  <si>
    <t>Simple, but someone needs to do this</t>
  </si>
  <si>
    <t>Requires discussion and potential change</t>
  </si>
  <si>
    <t>Relatively simple, but requires someone to lead this</t>
  </si>
  <si>
    <t>Evaluation required</t>
  </si>
  <si>
    <t>Requires proposal</t>
  </si>
  <si>
    <t>BJ</t>
  </si>
  <si>
    <t>Duplicate of 57/58</t>
  </si>
  <si>
    <t>KK</t>
  </si>
  <si>
    <t>Compliance validation tooling</t>
  </si>
  <si>
    <t xml:space="preserve">Work starting in IETF. Aim for alignment beyoind 2.7. </t>
  </si>
  <si>
    <t>Work under way in IETF. Just for info. No change planned currently. Also look at -lite</t>
  </si>
  <si>
    <t xml:space="preserve">Need clarity on what is required where. </t>
  </si>
  <si>
    <t>Requires follow up wit TIP</t>
  </si>
  <si>
    <t>Who (&amp; complexity)
Yellow = low
Orange = high</t>
  </si>
  <si>
    <t>Duplicate of 18</t>
  </si>
  <si>
    <t>Duplicate of 2</t>
  </si>
  <si>
    <t>otcc2023.ND.001_BriefAnalysis-TapiIetfModelLinkage.pptx</t>
  </si>
  <si>
    <t>otcc2024.ND.002_SpotlightAndSnapshotStreams.pptx</t>
  </si>
  <si>
    <t>otcc2023.ND.007_BasicPhysicalIntent.zip</t>
  </si>
  <si>
    <t>otcc2020.ND.010_TAPI-ConnectivityServiceComputationService.pptx</t>
  </si>
  <si>
    <t>Urgency
1=most</t>
  </si>
  <si>
    <t>https://github.com/ietf-ccamp-wg/draft-ietf-ccamp-actn-poi-pluggable-usecases-gaps</t>
  </si>
  <si>
    <t xml:space="preserve">https://datatracker.ietf.org/doc/draft-ietf-nmop-terminology/ </t>
  </si>
  <si>
    <t>Problem management (IETF incident work)</t>
  </si>
  <si>
    <t>https://github.com/italobusi/actn-wdm-pluggable-modelling</t>
  </si>
  <si>
    <t>https://github.com/ietf-ivy-wg/network-inventory-yang</t>
  </si>
  <si>
    <t>https://github.com/Open-Network-Models-and-Interfaces-ONMI/TAPI-Activities/blob/main/ContributionsForDiscussions/onmi2025.ND.001-YangConfigStatements.pptx</t>
  </si>
  <si>
    <t>Attribute Type for Switch Control needs to be corrected to conditional</t>
  </si>
  <si>
    <t>#606</t>
  </si>
  <si>
    <t>#622</t>
  </si>
  <si>
    <t>Rel</t>
  </si>
  <si>
    <t>2.1.3</t>
  </si>
  <si>
    <t>2.7
2.1.3</t>
  </si>
  <si>
    <t>2.5
2.1.3</t>
  </si>
  <si>
    <t xml:space="preserve">String restrictions in earler releases conflict with INVENTORY_ID </t>
  </si>
  <si>
    <t>Add physical route to 2.1.3</t>
  </si>
  <si>
    <t>Needed</t>
  </si>
  <si>
    <t>TIP request</t>
  </si>
  <si>
    <t>Process for applying fixes to previous releases and anouncing fixes</t>
  </si>
  <si>
    <t>#618</t>
  </si>
  <si>
    <t>2.1.3
2.5</t>
  </si>
  <si>
    <t>Protobuf file should be back propagated to 2.5</t>
  </si>
  <si>
    <t>#619</t>
  </si>
  <si>
    <t>Link creation and modification via a service</t>
  </si>
  <si>
    <t>#624</t>
  </si>
  <si>
    <t>Progress</t>
  </si>
  <si>
    <t>Draft YANG ready</t>
  </si>
  <si>
    <t>Confirmed</t>
  </si>
  <si>
    <t>Sketch available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</si>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</sst>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trike/>
      <sz val="11"/>
      <color theme="1"/>
      <name val="Aptos"/>
      <family val="2"/>
    </font>
    <font>
      <strike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1" applyAlignment="1">
      <alignment wrapText="1"/>
    </xf>
    <xf numFmtId="0" fontId="6" fillId="0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ietf-ivy-wg/network-inventory-yang" TargetMode="External"/><Relationship Id="rId3" Type="http://schemas.openxmlformats.org/officeDocument/2006/relationships/hyperlink" Target="https://github.com/Open-Network-Models-and-Interfaces-ONMI/TAPI-Activities/blob/main/ContributionsForDiscussions/otcc2023.ND.007_BasicPhysicalIntent.zip" TargetMode="External"/><Relationship Id="rId7" Type="http://schemas.openxmlformats.org/officeDocument/2006/relationships/hyperlink" Target="https://github.com/italobusi/actn-wdm-pluggable-modelling" TargetMode="External"/><Relationship Id="rId2" Type="http://schemas.openxmlformats.org/officeDocument/2006/relationships/hyperlink" Target="https://github.com/Open-Network-Models-and-Interfaces-ONMI/TAPI-Activities/blob/main/ContributionsForDiscussions/otcc2024.ND.002_SpotlightAndSnapshotStreams.pptx" TargetMode="External"/><Relationship Id="rId1" Type="http://schemas.openxmlformats.org/officeDocument/2006/relationships/hyperlink" Target="https://github.com/Open-Network-Models-and-Interfaces-ONMI/TAPI-Activities/blob/main/ContributionsForDiscussions/otcc2023.ND.001_BriefAnalysis-TapiIetfModelLinkage.pptx" TargetMode="External"/><Relationship Id="rId6" Type="http://schemas.openxmlformats.org/officeDocument/2006/relationships/hyperlink" Target="https://datatracker.ietf.org/doc/draft-ietf-nmop-terminology/" TargetMode="External"/><Relationship Id="rId5" Type="http://schemas.openxmlformats.org/officeDocument/2006/relationships/hyperlink" Target="https://github.com/ietf-ccamp-wg/draft-ietf-ccamp-actn-poi-pluggable-usecases-gaps" TargetMode="External"/><Relationship Id="rId4" Type="http://schemas.openxmlformats.org/officeDocument/2006/relationships/hyperlink" Target="https://github.com/Open-Network-Models-and-Interfaces-ONMI/TAPI-Activities/blob/main/ContributionsForDiscussions/otcc2020.ND.010_TAPI-ConnectivityServiceComputationService.pptx" TargetMode="External"/><Relationship Id="rId9" Type="http://schemas.openxmlformats.org/officeDocument/2006/relationships/hyperlink" Target="https://github.com/Open-Network-Models-and-Interfaces-ONMI/TAPI-Activities/blob/main/ContributionsForDiscussions/onmi2025.ND.001-YangConfigStatements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61E7-583E-48EA-BC24-50BAFA208482}">
  <dimension ref="A1:O67"/>
  <sheetViews>
    <sheetView tabSelected="1" zoomScale="70" zoomScaleNormal="70" workbookViewId="0">
      <pane ySplit="1" topLeftCell="A34" activePane="bottomLeft" state="frozen"/>
      <selection pane="bottomLeft" activeCell="D74" sqref="D74"/>
    </sheetView>
  </sheetViews>
  <sheetFormatPr defaultRowHeight="15" x14ac:dyDescent="0.25"/>
  <cols>
    <col min="1" max="1" width="9.140625" style="1"/>
    <col min="2" max="2" width="71" style="1" customWidth="1"/>
    <col min="3" max="3" width="11.5703125" style="1" customWidth="1"/>
    <col min="4" max="4" width="6.42578125" style="1" customWidth="1"/>
    <col min="5" max="5" width="19.7109375" style="1" customWidth="1"/>
    <col min="6" max="6" width="9.140625" style="1"/>
    <col min="7" max="7" width="23.5703125" style="1" customWidth="1"/>
    <col min="8" max="8" width="51.85546875" style="1" customWidth="1"/>
    <col min="9" max="9" width="29.5703125" style="1" customWidth="1"/>
    <col min="10" max="10" width="81.42578125" style="1" customWidth="1"/>
    <col min="11" max="11" width="9.140625" style="1" hidden="1" customWidth="1"/>
    <col min="12" max="12" width="12.85546875" style="1" hidden="1" customWidth="1"/>
    <col min="13" max="13" width="15.140625" style="1" hidden="1" customWidth="1"/>
    <col min="14" max="14" width="18" style="1" hidden="1" customWidth="1"/>
    <col min="15" max="15" width="10.85546875" style="1" customWidth="1"/>
    <col min="16" max="16384" width="9.140625" style="1"/>
  </cols>
  <sheetData>
    <row r="1" spans="1:15" ht="45" x14ac:dyDescent="0.25">
      <c r="A1" s="1" t="s">
        <v>48</v>
      </c>
      <c r="B1" s="1" t="s">
        <v>0</v>
      </c>
      <c r="C1" s="1" t="s">
        <v>123</v>
      </c>
      <c r="D1" s="1" t="s">
        <v>133</v>
      </c>
      <c r="E1" s="1" t="s">
        <v>116</v>
      </c>
      <c r="F1" s="1" t="s">
        <v>56</v>
      </c>
      <c r="G1" s="1" t="s">
        <v>78</v>
      </c>
      <c r="I1" s="1" t="s">
        <v>148</v>
      </c>
      <c r="J1" s="1" t="s">
        <v>83</v>
      </c>
      <c r="K1" s="1" t="s">
        <v>49</v>
      </c>
      <c r="L1" s="1" t="s">
        <v>50</v>
      </c>
      <c r="M1" s="1" t="s">
        <v>51</v>
      </c>
      <c r="N1" s="1" t="s">
        <v>54</v>
      </c>
      <c r="O1" s="1" t="s">
        <v>52</v>
      </c>
    </row>
    <row r="2" spans="1:15" x14ac:dyDescent="0.25">
      <c r="A2" s="1">
        <v>18</v>
      </c>
      <c r="B2" s="3" t="s">
        <v>16</v>
      </c>
      <c r="C2" s="3">
        <v>1</v>
      </c>
      <c r="D2" s="3">
        <v>2.7</v>
      </c>
      <c r="E2" s="2" t="s">
        <v>53</v>
      </c>
      <c r="G2" s="1" t="s">
        <v>106</v>
      </c>
      <c r="J2" s="8" t="s">
        <v>84</v>
      </c>
      <c r="K2" s="1">
        <v>1</v>
      </c>
      <c r="L2" s="1">
        <v>2</v>
      </c>
      <c r="M2" s="1">
        <v>1</v>
      </c>
      <c r="N2" s="1">
        <v>1</v>
      </c>
      <c r="O2" s="1">
        <f>K2*L2*M2*N2</f>
        <v>2</v>
      </c>
    </row>
    <row r="3" spans="1:15" ht="30" x14ac:dyDescent="0.25">
      <c r="A3" s="1">
        <v>54</v>
      </c>
      <c r="B3" s="1" t="s">
        <v>61</v>
      </c>
      <c r="C3" s="3">
        <v>1</v>
      </c>
      <c r="D3" s="3" t="s">
        <v>135</v>
      </c>
      <c r="E3" s="2" t="s">
        <v>53</v>
      </c>
      <c r="F3" s="1" t="s">
        <v>62</v>
      </c>
      <c r="J3" s="1" t="s">
        <v>90</v>
      </c>
      <c r="K3" s="1">
        <v>1</v>
      </c>
      <c r="L3" s="1">
        <v>2</v>
      </c>
      <c r="M3" s="1">
        <v>1</v>
      </c>
      <c r="N3" s="1">
        <v>1</v>
      </c>
      <c r="O3" s="1">
        <f>K3*L3*M3*N3</f>
        <v>2</v>
      </c>
    </row>
    <row r="4" spans="1:15" ht="60" x14ac:dyDescent="0.25">
      <c r="A4" s="1">
        <v>15</v>
      </c>
      <c r="B4" s="3" t="s">
        <v>13</v>
      </c>
      <c r="C4" s="3">
        <v>1</v>
      </c>
      <c r="D4" s="3">
        <v>2.7</v>
      </c>
      <c r="E4" s="5" t="s">
        <v>86</v>
      </c>
      <c r="F4" s="1" t="s">
        <v>57</v>
      </c>
      <c r="G4" s="9" t="s">
        <v>79</v>
      </c>
      <c r="H4" s="10" t="s">
        <v>129</v>
      </c>
      <c r="I4" s="10"/>
      <c r="J4" s="1" t="s">
        <v>92</v>
      </c>
      <c r="K4" s="1">
        <v>1</v>
      </c>
      <c r="L4" s="1">
        <v>3</v>
      </c>
      <c r="M4" s="1">
        <v>1</v>
      </c>
      <c r="N4" s="1">
        <v>1</v>
      </c>
      <c r="O4" s="1">
        <f>K4*L4*M4*N4</f>
        <v>3</v>
      </c>
    </row>
    <row r="5" spans="1:15" ht="30" x14ac:dyDescent="0.25">
      <c r="A5" s="1">
        <v>61</v>
      </c>
      <c r="B5" s="1" t="s">
        <v>130</v>
      </c>
      <c r="C5" s="3">
        <v>1</v>
      </c>
      <c r="D5" s="3" t="s">
        <v>135</v>
      </c>
      <c r="E5" s="2" t="s">
        <v>53</v>
      </c>
      <c r="F5" s="1" t="s">
        <v>131</v>
      </c>
    </row>
    <row r="6" spans="1:15" ht="18" customHeight="1" x14ac:dyDescent="0.25">
      <c r="A6" s="1">
        <v>62</v>
      </c>
      <c r="B6" s="1" t="s">
        <v>137</v>
      </c>
      <c r="C6" s="3">
        <v>1</v>
      </c>
      <c r="D6" s="1" t="s">
        <v>136</v>
      </c>
      <c r="E6" s="2" t="s">
        <v>53</v>
      </c>
      <c r="F6" s="1" t="s">
        <v>132</v>
      </c>
    </row>
    <row r="7" spans="1:15" x14ac:dyDescent="0.25">
      <c r="A7" s="1">
        <v>63</v>
      </c>
      <c r="B7" s="1" t="s">
        <v>138</v>
      </c>
      <c r="C7" s="3">
        <v>1</v>
      </c>
      <c r="D7" s="1" t="s">
        <v>134</v>
      </c>
      <c r="E7" s="2" t="s">
        <v>53</v>
      </c>
      <c r="F7" s="1" t="s">
        <v>139</v>
      </c>
      <c r="I7" s="1" t="s">
        <v>149</v>
      </c>
      <c r="J7" s="1" t="s">
        <v>140</v>
      </c>
    </row>
    <row r="8" spans="1:15" ht="30" x14ac:dyDescent="0.25">
      <c r="A8" s="1">
        <v>64</v>
      </c>
      <c r="B8" s="1" t="s">
        <v>141</v>
      </c>
      <c r="C8" s="3">
        <v>1</v>
      </c>
      <c r="D8" s="1" t="s">
        <v>143</v>
      </c>
      <c r="E8" s="2" t="s">
        <v>53</v>
      </c>
      <c r="F8" s="1" t="s">
        <v>142</v>
      </c>
    </row>
    <row r="9" spans="1:15" x14ac:dyDescent="0.25">
      <c r="A9" s="1">
        <v>65</v>
      </c>
      <c r="B9" s="1" t="s">
        <v>144</v>
      </c>
      <c r="C9" s="3">
        <v>1</v>
      </c>
      <c r="D9" s="3">
        <v>2.5</v>
      </c>
      <c r="E9" s="2" t="s">
        <v>53</v>
      </c>
      <c r="F9" s="1" t="s">
        <v>145</v>
      </c>
    </row>
    <row r="10" spans="1:15" x14ac:dyDescent="0.25">
      <c r="A10" s="1">
        <v>66</v>
      </c>
      <c r="B10" s="1" t="s">
        <v>146</v>
      </c>
      <c r="C10" s="3">
        <v>1</v>
      </c>
      <c r="D10" s="3">
        <v>2.7</v>
      </c>
      <c r="E10" s="2" t="s">
        <v>53</v>
      </c>
      <c r="F10" s="1" t="s">
        <v>147</v>
      </c>
      <c r="I10" s="1" t="s">
        <v>151</v>
      </c>
    </row>
    <row r="11" spans="1:15" ht="30" x14ac:dyDescent="0.25">
      <c r="A11" s="1">
        <v>7</v>
      </c>
      <c r="B11" s="3" t="s">
        <v>82</v>
      </c>
      <c r="C11" s="3">
        <v>2</v>
      </c>
      <c r="D11" s="3">
        <v>2.7</v>
      </c>
      <c r="E11" s="2" t="s">
        <v>53</v>
      </c>
      <c r="G11" s="1" t="s">
        <v>76</v>
      </c>
      <c r="H11" s="10" t="s">
        <v>119</v>
      </c>
      <c r="I11" s="10"/>
      <c r="J11" s="1" t="s">
        <v>88</v>
      </c>
      <c r="K11" s="1">
        <v>1</v>
      </c>
      <c r="L11" s="1">
        <v>1</v>
      </c>
      <c r="M11" s="1">
        <v>1</v>
      </c>
      <c r="N11" s="1">
        <v>1</v>
      </c>
      <c r="O11" s="1">
        <f>K11*L11*M11*N11</f>
        <v>1</v>
      </c>
    </row>
    <row r="12" spans="1:15" ht="30" x14ac:dyDescent="0.25">
      <c r="A12" s="1">
        <v>46</v>
      </c>
      <c r="B12" s="3" t="s">
        <v>41</v>
      </c>
      <c r="C12" s="3">
        <v>2</v>
      </c>
      <c r="D12" s="3">
        <v>2.7</v>
      </c>
      <c r="E12" s="2" t="s">
        <v>53</v>
      </c>
      <c r="G12" s="1" t="s">
        <v>77</v>
      </c>
      <c r="I12" s="1" t="s">
        <v>150</v>
      </c>
      <c r="J12" s="1" t="s">
        <v>89</v>
      </c>
      <c r="K12" s="1">
        <v>1</v>
      </c>
      <c r="L12" s="1">
        <v>1</v>
      </c>
      <c r="M12" s="1">
        <v>1</v>
      </c>
      <c r="N12" s="1">
        <v>1</v>
      </c>
      <c r="O12" s="1">
        <f>K12*L12*M12*N12</f>
        <v>1</v>
      </c>
    </row>
    <row r="13" spans="1:15" x14ac:dyDescent="0.25">
      <c r="A13" s="1">
        <v>9</v>
      </c>
      <c r="B13" s="3" t="s">
        <v>7</v>
      </c>
      <c r="C13" s="3">
        <v>2</v>
      </c>
      <c r="D13" s="3">
        <v>2.7</v>
      </c>
      <c r="E13" s="2" t="s">
        <v>53</v>
      </c>
      <c r="G13" s="1" t="s">
        <v>87</v>
      </c>
      <c r="J13" s="1" t="s">
        <v>85</v>
      </c>
      <c r="K13" s="1">
        <v>1</v>
      </c>
      <c r="L13" s="1">
        <v>2</v>
      </c>
      <c r="M13" s="1">
        <v>1</v>
      </c>
      <c r="N13" s="1">
        <v>1</v>
      </c>
      <c r="O13" s="1">
        <f>K13*L13*M13*N13</f>
        <v>2</v>
      </c>
    </row>
    <row r="14" spans="1:15" x14ac:dyDescent="0.25">
      <c r="A14" s="1">
        <v>53</v>
      </c>
      <c r="B14" s="1" t="s">
        <v>58</v>
      </c>
      <c r="C14" s="3">
        <v>2</v>
      </c>
      <c r="D14" s="3">
        <v>2.7</v>
      </c>
      <c r="E14" s="2" t="s">
        <v>110</v>
      </c>
      <c r="F14" s="1" t="s">
        <v>59</v>
      </c>
      <c r="K14" s="1">
        <v>1</v>
      </c>
      <c r="L14" s="1">
        <v>1</v>
      </c>
      <c r="M14" s="1">
        <v>2</v>
      </c>
      <c r="N14" s="1">
        <v>1</v>
      </c>
      <c r="O14" s="1">
        <f>K14*L14*M14*N14</f>
        <v>2</v>
      </c>
    </row>
    <row r="15" spans="1:15" x14ac:dyDescent="0.25">
      <c r="A15" s="1">
        <v>57</v>
      </c>
      <c r="B15" s="1" t="s">
        <v>67</v>
      </c>
      <c r="C15" s="3">
        <v>2</v>
      </c>
      <c r="D15" s="3">
        <v>2.7</v>
      </c>
      <c r="E15" s="2" t="s">
        <v>108</v>
      </c>
      <c r="F15" s="1" t="s">
        <v>68</v>
      </c>
      <c r="J15" s="1" t="s">
        <v>105</v>
      </c>
      <c r="K15" s="1">
        <v>1</v>
      </c>
      <c r="L15" s="1">
        <v>2</v>
      </c>
      <c r="M15" s="1">
        <v>1</v>
      </c>
      <c r="N15" s="1">
        <v>1</v>
      </c>
      <c r="O15" s="1">
        <f>K15*L15*M15*N15</f>
        <v>2</v>
      </c>
    </row>
    <row r="16" spans="1:15" x14ac:dyDescent="0.25">
      <c r="A16" s="1">
        <v>58</v>
      </c>
      <c r="B16" s="1" t="s">
        <v>69</v>
      </c>
      <c r="C16" s="3">
        <v>2</v>
      </c>
      <c r="D16" s="3">
        <v>2.7</v>
      </c>
      <c r="E16" s="2" t="s">
        <v>108</v>
      </c>
      <c r="F16" s="1" t="s">
        <v>70</v>
      </c>
      <c r="J16" s="1" t="s">
        <v>105</v>
      </c>
      <c r="K16" s="1">
        <v>1</v>
      </c>
      <c r="L16" s="1">
        <v>2</v>
      </c>
      <c r="M16" s="1">
        <v>1</v>
      </c>
      <c r="N16" s="1">
        <v>1</v>
      </c>
      <c r="O16" s="1">
        <f>K16*L16*M16*N16</f>
        <v>2</v>
      </c>
    </row>
    <row r="17" spans="1:15" ht="30" x14ac:dyDescent="0.25">
      <c r="A17" s="1">
        <v>30</v>
      </c>
      <c r="B17" s="3" t="s">
        <v>74</v>
      </c>
      <c r="C17" s="3">
        <v>2</v>
      </c>
      <c r="D17" s="3">
        <v>2.7</v>
      </c>
      <c r="E17" s="5" t="s">
        <v>86</v>
      </c>
      <c r="G17" s="1" t="s">
        <v>80</v>
      </c>
      <c r="J17" s="1" t="s">
        <v>98</v>
      </c>
      <c r="K17" s="1">
        <v>1</v>
      </c>
      <c r="L17" s="1">
        <v>3</v>
      </c>
      <c r="M17" s="1">
        <v>1</v>
      </c>
      <c r="N17" s="1">
        <v>1</v>
      </c>
      <c r="O17" s="1">
        <f>K17*L17*M17*N17</f>
        <v>3</v>
      </c>
    </row>
    <row r="18" spans="1:15" x14ac:dyDescent="0.25">
      <c r="A18" s="1">
        <v>31</v>
      </c>
      <c r="B18" s="3" t="s">
        <v>27</v>
      </c>
      <c r="C18" s="3">
        <v>2</v>
      </c>
      <c r="D18" s="3">
        <v>2.7</v>
      </c>
      <c r="E18" s="5" t="s">
        <v>86</v>
      </c>
      <c r="F18" s="1" t="s">
        <v>60</v>
      </c>
      <c r="G18" s="1" t="s">
        <v>80</v>
      </c>
      <c r="J18" s="8" t="s">
        <v>91</v>
      </c>
      <c r="K18" s="1">
        <v>1</v>
      </c>
      <c r="L18" s="1">
        <v>3</v>
      </c>
      <c r="M18" s="1">
        <v>1</v>
      </c>
      <c r="N18" s="1">
        <v>1</v>
      </c>
      <c r="O18" s="1">
        <f>K18*L18*M18*N18</f>
        <v>3</v>
      </c>
    </row>
    <row r="19" spans="1:15" x14ac:dyDescent="0.25">
      <c r="A19" s="1">
        <v>60</v>
      </c>
      <c r="B19" s="1" t="s">
        <v>111</v>
      </c>
      <c r="C19" s="3">
        <v>2</v>
      </c>
      <c r="D19" s="3">
        <v>2.7</v>
      </c>
      <c r="E19" s="5" t="s">
        <v>53</v>
      </c>
      <c r="J19" s="1" t="s">
        <v>115</v>
      </c>
      <c r="K19" s="1">
        <v>1</v>
      </c>
      <c r="L19" s="1">
        <v>3</v>
      </c>
      <c r="M19" s="1">
        <v>1</v>
      </c>
      <c r="N19" s="1">
        <v>1</v>
      </c>
      <c r="O19" s="1">
        <f>K19*L19*M19*N19</f>
        <v>3</v>
      </c>
    </row>
    <row r="20" spans="1:15" x14ac:dyDescent="0.25">
      <c r="A20" s="1">
        <v>45</v>
      </c>
      <c r="B20" s="3" t="s">
        <v>40</v>
      </c>
      <c r="C20" s="3">
        <v>2</v>
      </c>
      <c r="D20" s="3">
        <v>2.7</v>
      </c>
      <c r="E20" s="2" t="s">
        <v>86</v>
      </c>
      <c r="G20" s="1" t="s">
        <v>80</v>
      </c>
      <c r="J20" s="1" t="s">
        <v>102</v>
      </c>
      <c r="K20" s="1">
        <v>1</v>
      </c>
      <c r="L20" s="1">
        <v>2</v>
      </c>
      <c r="M20" s="1">
        <v>2</v>
      </c>
      <c r="N20" s="1">
        <v>1</v>
      </c>
      <c r="O20" s="1">
        <f>K20*L20*M20*N20</f>
        <v>4</v>
      </c>
    </row>
    <row r="21" spans="1:15" ht="30" x14ac:dyDescent="0.25">
      <c r="A21" s="1">
        <v>5</v>
      </c>
      <c r="B21" s="3" t="s">
        <v>5</v>
      </c>
      <c r="C21" s="3">
        <v>3</v>
      </c>
      <c r="D21" s="3">
        <v>2.7</v>
      </c>
      <c r="E21" s="2" t="s">
        <v>53</v>
      </c>
      <c r="G21" s="2" t="s">
        <v>73</v>
      </c>
      <c r="H21" s="11" t="s">
        <v>124</v>
      </c>
      <c r="I21" s="11"/>
      <c r="J21" s="1" t="s">
        <v>93</v>
      </c>
      <c r="K21" s="1">
        <v>1</v>
      </c>
      <c r="L21" s="1">
        <v>2</v>
      </c>
      <c r="M21" s="1">
        <v>0</v>
      </c>
      <c r="N21" s="1">
        <v>1</v>
      </c>
      <c r="O21" s="1">
        <f>K21*L21*M21*N21</f>
        <v>0</v>
      </c>
    </row>
    <row r="22" spans="1:15" ht="30" x14ac:dyDescent="0.25">
      <c r="A22" s="1">
        <v>8</v>
      </c>
      <c r="B22" s="3" t="s">
        <v>126</v>
      </c>
      <c r="C22" s="3">
        <v>3</v>
      </c>
      <c r="D22" s="3">
        <v>2.7</v>
      </c>
      <c r="E22" s="2" t="s">
        <v>53</v>
      </c>
      <c r="G22" s="2" t="s">
        <v>73</v>
      </c>
      <c r="H22" s="11" t="s">
        <v>125</v>
      </c>
      <c r="I22" s="11"/>
      <c r="J22" s="1" t="s">
        <v>94</v>
      </c>
      <c r="K22" s="1">
        <v>3</v>
      </c>
      <c r="L22" s="1">
        <v>2</v>
      </c>
      <c r="M22" s="1">
        <v>0</v>
      </c>
      <c r="N22" s="1">
        <v>1</v>
      </c>
      <c r="O22" s="1">
        <f>K22*L22*M22*N22</f>
        <v>0</v>
      </c>
    </row>
    <row r="23" spans="1:15" ht="30" x14ac:dyDescent="0.25">
      <c r="A23" s="1">
        <v>12</v>
      </c>
      <c r="B23" s="3" t="s">
        <v>10</v>
      </c>
      <c r="C23" s="3">
        <v>3</v>
      </c>
      <c r="D23" s="3">
        <v>2.7</v>
      </c>
      <c r="E23" s="2" t="s">
        <v>53</v>
      </c>
      <c r="G23" s="2" t="s">
        <v>73</v>
      </c>
      <c r="H23" s="11" t="s">
        <v>127</v>
      </c>
      <c r="I23" s="11"/>
      <c r="J23" s="1" t="s">
        <v>93</v>
      </c>
      <c r="K23" s="1">
        <v>1</v>
      </c>
      <c r="L23" s="1">
        <v>2</v>
      </c>
      <c r="M23" s="1">
        <v>0</v>
      </c>
      <c r="N23" s="1">
        <v>1</v>
      </c>
      <c r="O23" s="1">
        <f>K23*L23*M23*N23</f>
        <v>0</v>
      </c>
    </row>
    <row r="24" spans="1:15" s="6" customFormat="1" x14ac:dyDescent="0.25">
      <c r="A24" s="1">
        <v>25</v>
      </c>
      <c r="B24" s="3" t="s">
        <v>75</v>
      </c>
      <c r="C24" s="3">
        <v>3</v>
      </c>
      <c r="D24" s="3">
        <v>2.7</v>
      </c>
      <c r="E24" s="2" t="s">
        <v>53</v>
      </c>
      <c r="F24" s="1"/>
      <c r="G24" s="2" t="s">
        <v>73</v>
      </c>
      <c r="H24" s="1"/>
      <c r="I24" s="1"/>
      <c r="J24" s="1" t="s">
        <v>113</v>
      </c>
      <c r="K24" s="1">
        <v>3</v>
      </c>
      <c r="L24" s="1">
        <v>2</v>
      </c>
      <c r="M24" s="1">
        <v>0</v>
      </c>
      <c r="N24" s="1">
        <v>1</v>
      </c>
      <c r="O24" s="1">
        <f>K24*L24*M24*N24</f>
        <v>0</v>
      </c>
    </row>
    <row r="25" spans="1:15" x14ac:dyDescent="0.25">
      <c r="A25" s="1">
        <v>36</v>
      </c>
      <c r="B25" s="3" t="s">
        <v>31</v>
      </c>
      <c r="C25" s="3">
        <v>3</v>
      </c>
      <c r="D25" s="3">
        <v>2.7</v>
      </c>
      <c r="E25" s="5" t="s">
        <v>53</v>
      </c>
      <c r="G25" s="2" t="s">
        <v>73</v>
      </c>
      <c r="J25" s="1" t="s">
        <v>112</v>
      </c>
      <c r="K25" s="1">
        <v>2</v>
      </c>
      <c r="L25" s="1">
        <v>5</v>
      </c>
      <c r="M25" s="1">
        <v>0</v>
      </c>
      <c r="N25" s="1">
        <v>1</v>
      </c>
      <c r="O25" s="1">
        <f>K25*L25*M25*N25</f>
        <v>0</v>
      </c>
    </row>
    <row r="26" spans="1:15" x14ac:dyDescent="0.25">
      <c r="A26" s="1">
        <v>38</v>
      </c>
      <c r="B26" s="3" t="s">
        <v>33</v>
      </c>
      <c r="C26" s="3">
        <v>3</v>
      </c>
      <c r="D26" s="3">
        <v>2.7</v>
      </c>
      <c r="E26" s="2" t="s">
        <v>53</v>
      </c>
      <c r="G26" s="2" t="s">
        <v>73</v>
      </c>
      <c r="H26" s="11" t="s">
        <v>128</v>
      </c>
      <c r="I26" s="11"/>
      <c r="J26" s="1" t="s">
        <v>95</v>
      </c>
      <c r="K26" s="1">
        <v>2</v>
      </c>
      <c r="L26" s="1">
        <v>2</v>
      </c>
      <c r="M26" s="1">
        <v>0</v>
      </c>
      <c r="N26" s="1">
        <v>1</v>
      </c>
      <c r="O26" s="1">
        <f>K26*L26*M26*N26</f>
        <v>0</v>
      </c>
    </row>
    <row r="27" spans="1:15" x14ac:dyDescent="0.25">
      <c r="A27" s="1">
        <v>39</v>
      </c>
      <c r="B27" s="3" t="s">
        <v>34</v>
      </c>
      <c r="C27" s="3">
        <v>3</v>
      </c>
      <c r="D27" s="3">
        <v>2.7</v>
      </c>
      <c r="E27" s="2" t="s">
        <v>53</v>
      </c>
      <c r="G27" s="2" t="s">
        <v>73</v>
      </c>
      <c r="J27" s="1" t="s">
        <v>96</v>
      </c>
      <c r="K27" s="1">
        <v>2</v>
      </c>
      <c r="L27" s="1">
        <v>2</v>
      </c>
      <c r="M27" s="1">
        <v>0</v>
      </c>
      <c r="N27" s="1">
        <v>1</v>
      </c>
      <c r="O27" s="1">
        <f>K27*L27*M27*N27</f>
        <v>0</v>
      </c>
    </row>
    <row r="28" spans="1:15" x14ac:dyDescent="0.25">
      <c r="A28" s="1">
        <v>56</v>
      </c>
      <c r="B28" s="1" t="s">
        <v>64</v>
      </c>
      <c r="C28" s="3">
        <v>3</v>
      </c>
      <c r="D28" s="3">
        <v>2.7</v>
      </c>
      <c r="E28" s="2" t="s">
        <v>110</v>
      </c>
      <c r="F28" s="1" t="s">
        <v>65</v>
      </c>
      <c r="J28" s="1" t="s">
        <v>114</v>
      </c>
      <c r="K28" s="1">
        <v>1</v>
      </c>
      <c r="L28" s="1">
        <v>2</v>
      </c>
      <c r="M28" s="1">
        <v>1</v>
      </c>
      <c r="N28" s="1">
        <v>1</v>
      </c>
      <c r="O28" s="1">
        <f>K28*L28*M28*N28</f>
        <v>2</v>
      </c>
    </row>
    <row r="29" spans="1:15" x14ac:dyDescent="0.25">
      <c r="A29" s="1">
        <v>10</v>
      </c>
      <c r="B29" s="3" t="s">
        <v>8</v>
      </c>
      <c r="C29" s="3">
        <v>3</v>
      </c>
      <c r="D29" s="3">
        <v>2.7</v>
      </c>
      <c r="E29" s="5" t="s">
        <v>53</v>
      </c>
      <c r="G29" s="1" t="s">
        <v>76</v>
      </c>
      <c r="H29" s="10" t="s">
        <v>120</v>
      </c>
      <c r="I29" s="10"/>
      <c r="J29" s="1" t="s">
        <v>97</v>
      </c>
      <c r="K29" s="1">
        <v>1</v>
      </c>
      <c r="L29" s="1">
        <v>3</v>
      </c>
      <c r="M29" s="1">
        <v>1</v>
      </c>
      <c r="N29" s="1">
        <v>1</v>
      </c>
      <c r="O29" s="1">
        <f>K29*L29*M29*N29</f>
        <v>3</v>
      </c>
    </row>
    <row r="30" spans="1:15" x14ac:dyDescent="0.25">
      <c r="A30" s="1">
        <v>19</v>
      </c>
      <c r="B30" s="3" t="s">
        <v>17</v>
      </c>
      <c r="C30" s="3">
        <v>3</v>
      </c>
      <c r="D30" s="3">
        <v>2.7</v>
      </c>
      <c r="E30" s="5" t="s">
        <v>55</v>
      </c>
      <c r="K30" s="1">
        <v>1</v>
      </c>
      <c r="L30" s="1">
        <v>3</v>
      </c>
      <c r="M30" s="1">
        <v>1</v>
      </c>
      <c r="N30" s="1">
        <v>1</v>
      </c>
      <c r="O30" s="1">
        <f>K30*L30*M30*N30</f>
        <v>3</v>
      </c>
    </row>
    <row r="31" spans="1:15" x14ac:dyDescent="0.25">
      <c r="A31" s="1">
        <v>50</v>
      </c>
      <c r="B31" s="3" t="s">
        <v>45</v>
      </c>
      <c r="C31" s="3">
        <v>3</v>
      </c>
      <c r="D31" s="3">
        <v>2.7</v>
      </c>
      <c r="E31" s="5" t="s">
        <v>86</v>
      </c>
      <c r="G31" s="1" t="s">
        <v>80</v>
      </c>
      <c r="J31" s="1" t="s">
        <v>99</v>
      </c>
      <c r="K31" s="1">
        <v>1</v>
      </c>
      <c r="L31" s="1">
        <v>3</v>
      </c>
      <c r="M31" s="1">
        <v>1</v>
      </c>
      <c r="N31" s="1">
        <v>1</v>
      </c>
      <c r="O31" s="1">
        <f>K31*L31*M31*N31</f>
        <v>3</v>
      </c>
    </row>
    <row r="32" spans="1:15" ht="45" x14ac:dyDescent="0.25">
      <c r="A32" s="1">
        <v>2</v>
      </c>
      <c r="B32" s="3" t="s">
        <v>2</v>
      </c>
      <c r="C32" s="3">
        <v>3</v>
      </c>
      <c r="D32" s="3">
        <v>2.7</v>
      </c>
      <c r="E32" s="5" t="s">
        <v>53</v>
      </c>
      <c r="G32" s="1" t="s">
        <v>81</v>
      </c>
      <c r="H32" s="10" t="s">
        <v>122</v>
      </c>
      <c r="I32" s="10"/>
      <c r="J32" s="1" t="s">
        <v>100</v>
      </c>
      <c r="K32" s="1">
        <v>1</v>
      </c>
      <c r="L32" s="1">
        <v>4</v>
      </c>
      <c r="M32" s="1">
        <v>1</v>
      </c>
      <c r="N32" s="1">
        <v>1</v>
      </c>
      <c r="O32" s="1">
        <f>K32*L32*M32*N32</f>
        <v>4</v>
      </c>
    </row>
    <row r="33" spans="1:15" x14ac:dyDescent="0.25">
      <c r="A33" s="1">
        <v>13</v>
      </c>
      <c r="B33" s="3" t="s">
        <v>11</v>
      </c>
      <c r="C33" s="3">
        <v>3</v>
      </c>
      <c r="D33" s="3">
        <v>2.7</v>
      </c>
      <c r="E33" s="2" t="s">
        <v>53</v>
      </c>
      <c r="G33" s="1" t="s">
        <v>107</v>
      </c>
      <c r="J33" s="1" t="s">
        <v>101</v>
      </c>
      <c r="K33" s="1">
        <v>2</v>
      </c>
      <c r="L33" s="1">
        <v>2</v>
      </c>
      <c r="M33" s="1">
        <v>1</v>
      </c>
      <c r="N33" s="1">
        <v>1</v>
      </c>
      <c r="O33" s="1">
        <f>K33*L33*M33*N33</f>
        <v>4</v>
      </c>
    </row>
    <row r="34" spans="1:15" x14ac:dyDescent="0.25">
      <c r="A34" s="1">
        <v>16</v>
      </c>
      <c r="B34" s="3" t="s">
        <v>14</v>
      </c>
      <c r="C34" s="3"/>
      <c r="D34" s="3" t="s">
        <v>152</v>
      </c>
      <c r="E34" s="2"/>
      <c r="J34" s="1" t="s">
        <v>103</v>
      </c>
      <c r="K34" s="1">
        <v>2</v>
      </c>
      <c r="L34" s="1">
        <v>1</v>
      </c>
      <c r="M34" s="1">
        <v>1</v>
      </c>
      <c r="N34" s="1">
        <v>5</v>
      </c>
      <c r="O34" s="1">
        <f>K34*L34*M34*N34</f>
        <v>10</v>
      </c>
    </row>
    <row r="35" spans="1:15" x14ac:dyDescent="0.25">
      <c r="A35" s="1">
        <v>32</v>
      </c>
      <c r="B35" s="3" t="s">
        <v>28</v>
      </c>
      <c r="C35" s="3"/>
      <c r="D35" s="3" t="s">
        <v>152</v>
      </c>
      <c r="E35" s="2"/>
      <c r="K35" s="1">
        <v>2</v>
      </c>
      <c r="L35" s="1">
        <v>1</v>
      </c>
      <c r="M35" s="1">
        <v>1</v>
      </c>
      <c r="N35" s="1">
        <v>5</v>
      </c>
      <c r="O35" s="1">
        <f>K35*L35*M35*N35</f>
        <v>10</v>
      </c>
    </row>
    <row r="36" spans="1:15" x14ac:dyDescent="0.25">
      <c r="A36" s="1">
        <v>55</v>
      </c>
      <c r="B36" s="1" t="s">
        <v>63</v>
      </c>
      <c r="D36" s="3" t="s">
        <v>152</v>
      </c>
      <c r="E36" s="2"/>
      <c r="F36" s="1" t="s">
        <v>66</v>
      </c>
      <c r="J36" s="1" t="s">
        <v>104</v>
      </c>
      <c r="K36" s="1">
        <v>2</v>
      </c>
      <c r="L36" s="1">
        <v>1</v>
      </c>
      <c r="M36" s="1">
        <v>1</v>
      </c>
      <c r="N36" s="1">
        <v>5</v>
      </c>
      <c r="O36" s="1">
        <f>K36*L36*M36*N36</f>
        <v>10</v>
      </c>
    </row>
    <row r="37" spans="1:15" x14ac:dyDescent="0.25">
      <c r="A37" s="1">
        <v>3</v>
      </c>
      <c r="B37" s="3" t="s">
        <v>3</v>
      </c>
      <c r="C37" s="3"/>
      <c r="D37" s="3" t="s">
        <v>152</v>
      </c>
      <c r="E37" s="5"/>
      <c r="K37" s="1">
        <v>1</v>
      </c>
      <c r="L37" s="1">
        <v>3</v>
      </c>
      <c r="M37" s="1">
        <v>1</v>
      </c>
      <c r="N37" s="1">
        <v>5</v>
      </c>
      <c r="O37" s="1">
        <f>K37*L37*M37*N37</f>
        <v>15</v>
      </c>
    </row>
    <row r="38" spans="1:15" x14ac:dyDescent="0.25">
      <c r="A38" s="1">
        <v>14</v>
      </c>
      <c r="B38" s="3" t="s">
        <v>12</v>
      </c>
      <c r="C38" s="3"/>
      <c r="D38" s="3" t="s">
        <v>152</v>
      </c>
      <c r="E38" s="5"/>
      <c r="K38" s="1">
        <v>1</v>
      </c>
      <c r="L38" s="1">
        <v>3</v>
      </c>
      <c r="M38" s="1">
        <v>1</v>
      </c>
      <c r="N38" s="1">
        <v>5</v>
      </c>
      <c r="O38" s="1">
        <f>K38*L38*M38*N38</f>
        <v>15</v>
      </c>
    </row>
    <row r="39" spans="1:15" x14ac:dyDescent="0.25">
      <c r="A39" s="1">
        <v>52</v>
      </c>
      <c r="B39" s="3" t="s">
        <v>47</v>
      </c>
      <c r="C39" s="3"/>
      <c r="D39" s="3" t="s">
        <v>152</v>
      </c>
      <c r="E39" s="5"/>
      <c r="K39" s="1">
        <v>1</v>
      </c>
      <c r="L39" s="1">
        <v>3</v>
      </c>
      <c r="M39" s="1">
        <v>1</v>
      </c>
      <c r="N39" s="1">
        <v>5</v>
      </c>
      <c r="O39" s="1">
        <f>K39*L39*M39*N39</f>
        <v>15</v>
      </c>
    </row>
    <row r="40" spans="1:15" x14ac:dyDescent="0.25">
      <c r="A40" s="1">
        <v>11</v>
      </c>
      <c r="B40" s="3" t="s">
        <v>9</v>
      </c>
      <c r="C40" s="3"/>
      <c r="D40" s="3" t="s">
        <v>152</v>
      </c>
      <c r="E40" s="2"/>
      <c r="K40" s="1">
        <v>2</v>
      </c>
      <c r="L40" s="1">
        <v>2</v>
      </c>
      <c r="M40" s="1">
        <v>1</v>
      </c>
      <c r="N40" s="1">
        <v>5</v>
      </c>
      <c r="O40" s="1">
        <f>K40*L40*M40*N40</f>
        <v>20</v>
      </c>
    </row>
    <row r="41" spans="1:15" x14ac:dyDescent="0.25">
      <c r="A41" s="1">
        <v>21</v>
      </c>
      <c r="B41" s="3" t="s">
        <v>19</v>
      </c>
      <c r="C41" s="3"/>
      <c r="D41" s="3" t="s">
        <v>152</v>
      </c>
      <c r="E41" s="2"/>
      <c r="K41" s="1">
        <v>2</v>
      </c>
      <c r="L41" s="1">
        <v>1</v>
      </c>
      <c r="M41" s="1">
        <v>2</v>
      </c>
      <c r="N41" s="1">
        <v>5</v>
      </c>
      <c r="O41" s="1">
        <f>K41*L41*M41*N41</f>
        <v>20</v>
      </c>
    </row>
    <row r="42" spans="1:15" x14ac:dyDescent="0.25">
      <c r="A42" s="1">
        <v>22</v>
      </c>
      <c r="B42" s="3" t="s">
        <v>20</v>
      </c>
      <c r="C42" s="3"/>
      <c r="D42" s="3" t="s">
        <v>152</v>
      </c>
      <c r="E42" s="2"/>
      <c r="K42" s="1">
        <v>2</v>
      </c>
      <c r="L42" s="1">
        <v>2</v>
      </c>
      <c r="M42" s="1">
        <v>1</v>
      </c>
      <c r="N42" s="1">
        <v>5</v>
      </c>
      <c r="O42" s="1">
        <f>K42*L42*M42*N42</f>
        <v>20</v>
      </c>
    </row>
    <row r="43" spans="1:15" x14ac:dyDescent="0.25">
      <c r="A43" s="1">
        <v>23</v>
      </c>
      <c r="B43" s="3" t="s">
        <v>21</v>
      </c>
      <c r="C43" s="3"/>
      <c r="D43" s="3" t="s">
        <v>152</v>
      </c>
      <c r="E43" s="2"/>
      <c r="K43" s="1">
        <v>2</v>
      </c>
      <c r="L43" s="1">
        <v>2</v>
      </c>
      <c r="M43" s="1">
        <v>1</v>
      </c>
      <c r="N43" s="1">
        <v>5</v>
      </c>
      <c r="O43" s="1">
        <f>K43*L43*M43*N43</f>
        <v>20</v>
      </c>
    </row>
    <row r="44" spans="1:15" x14ac:dyDescent="0.25">
      <c r="A44" s="1">
        <v>27</v>
      </c>
      <c r="B44" s="3" t="s">
        <v>24</v>
      </c>
      <c r="C44" s="3"/>
      <c r="D44" s="3" t="s">
        <v>152</v>
      </c>
      <c r="E44" s="2"/>
      <c r="K44" s="1">
        <v>2</v>
      </c>
      <c r="L44" s="1">
        <v>2</v>
      </c>
      <c r="M44" s="1">
        <v>1</v>
      </c>
      <c r="N44" s="1">
        <v>5</v>
      </c>
      <c r="O44" s="1">
        <f>K44*L44*M44*N44</f>
        <v>20</v>
      </c>
    </row>
    <row r="45" spans="1:15" x14ac:dyDescent="0.25">
      <c r="A45" s="1">
        <v>28</v>
      </c>
      <c r="B45" s="3" t="s">
        <v>25</v>
      </c>
      <c r="C45" s="3"/>
      <c r="D45" s="3" t="s">
        <v>152</v>
      </c>
      <c r="E45" s="2"/>
      <c r="K45" s="1">
        <v>2</v>
      </c>
      <c r="L45" s="1">
        <v>2</v>
      </c>
      <c r="M45" s="1">
        <v>1</v>
      </c>
      <c r="N45" s="1">
        <v>5</v>
      </c>
      <c r="O45" s="1">
        <f>K45*L45*M45*N45</f>
        <v>20</v>
      </c>
    </row>
    <row r="46" spans="1:15" x14ac:dyDescent="0.25">
      <c r="A46" s="1">
        <v>47</v>
      </c>
      <c r="B46" s="3" t="s">
        <v>42</v>
      </c>
      <c r="C46" s="3"/>
      <c r="D46" s="3" t="s">
        <v>152</v>
      </c>
      <c r="E46" s="2"/>
      <c r="K46" s="1">
        <v>2</v>
      </c>
      <c r="L46" s="1">
        <v>2</v>
      </c>
      <c r="M46" s="1">
        <v>1</v>
      </c>
      <c r="N46" s="1">
        <v>5</v>
      </c>
      <c r="O46" s="1">
        <f>K46*L46*M46*N46</f>
        <v>20</v>
      </c>
    </row>
    <row r="47" spans="1:15" x14ac:dyDescent="0.25">
      <c r="A47" s="1">
        <v>59</v>
      </c>
      <c r="B47" s="1" t="s">
        <v>72</v>
      </c>
      <c r="D47" s="3" t="s">
        <v>152</v>
      </c>
      <c r="E47" s="2"/>
      <c r="K47" s="1">
        <v>2</v>
      </c>
      <c r="L47" s="1">
        <v>2</v>
      </c>
      <c r="M47" s="1">
        <v>1</v>
      </c>
      <c r="N47" s="1">
        <v>5</v>
      </c>
      <c r="O47" s="1">
        <f>K47*L47*M47*N47</f>
        <v>20</v>
      </c>
    </row>
    <row r="48" spans="1:15" x14ac:dyDescent="0.25">
      <c r="A48" s="1">
        <v>1</v>
      </c>
      <c r="B48" s="3" t="s">
        <v>1</v>
      </c>
      <c r="C48" s="3"/>
      <c r="D48" s="3" t="s">
        <v>152</v>
      </c>
      <c r="E48" s="5"/>
      <c r="K48" s="1">
        <v>2</v>
      </c>
      <c r="L48" s="1">
        <v>3</v>
      </c>
      <c r="M48" s="1">
        <v>1</v>
      </c>
      <c r="N48" s="1">
        <v>5</v>
      </c>
      <c r="O48" s="1">
        <f>K48*L48*M48*N48</f>
        <v>30</v>
      </c>
    </row>
    <row r="49" spans="1:15" x14ac:dyDescent="0.25">
      <c r="A49" s="1">
        <v>24</v>
      </c>
      <c r="B49" s="3" t="s">
        <v>22</v>
      </c>
      <c r="C49" s="3"/>
      <c r="D49" s="3" t="s">
        <v>152</v>
      </c>
      <c r="E49" s="5"/>
      <c r="K49" s="1">
        <v>2</v>
      </c>
      <c r="L49" s="1">
        <v>3</v>
      </c>
      <c r="M49" s="1">
        <v>1</v>
      </c>
      <c r="N49" s="1">
        <v>5</v>
      </c>
      <c r="O49" s="1">
        <f>K49*L49*M49*N49</f>
        <v>30</v>
      </c>
    </row>
    <row r="50" spans="1:15" x14ac:dyDescent="0.25">
      <c r="A50" s="1">
        <v>29</v>
      </c>
      <c r="B50" s="3" t="s">
        <v>26</v>
      </c>
      <c r="C50" s="3"/>
      <c r="D50" s="3" t="s">
        <v>152</v>
      </c>
      <c r="E50" s="5"/>
      <c r="K50" s="1">
        <v>2</v>
      </c>
      <c r="L50" s="1">
        <v>3</v>
      </c>
      <c r="M50" s="1">
        <v>1</v>
      </c>
      <c r="N50" s="1">
        <v>5</v>
      </c>
      <c r="O50" s="1">
        <f>K50*L50*M50*N50</f>
        <v>30</v>
      </c>
    </row>
    <row r="51" spans="1:15" x14ac:dyDescent="0.25">
      <c r="A51" s="1">
        <v>33</v>
      </c>
      <c r="B51" s="3" t="s">
        <v>29</v>
      </c>
      <c r="C51" s="3"/>
      <c r="D51" s="3" t="s">
        <v>152</v>
      </c>
      <c r="E51" s="5"/>
      <c r="K51" s="1">
        <v>2</v>
      </c>
      <c r="L51" s="1">
        <v>3</v>
      </c>
      <c r="M51" s="1">
        <v>1</v>
      </c>
      <c r="N51" s="1">
        <v>5</v>
      </c>
      <c r="O51" s="1">
        <f>K51*L51*M51*N51</f>
        <v>30</v>
      </c>
    </row>
    <row r="52" spans="1:15" x14ac:dyDescent="0.25">
      <c r="A52" s="1">
        <v>40</v>
      </c>
      <c r="B52" s="3" t="s">
        <v>35</v>
      </c>
      <c r="C52" s="3"/>
      <c r="D52" s="3" t="s">
        <v>152</v>
      </c>
      <c r="E52" s="5"/>
      <c r="K52" s="1">
        <v>2</v>
      </c>
      <c r="L52" s="1">
        <v>3</v>
      </c>
      <c r="M52" s="1">
        <v>1</v>
      </c>
      <c r="N52" s="1">
        <v>5</v>
      </c>
      <c r="O52" s="1">
        <f>K52*L52*M52*N52</f>
        <v>30</v>
      </c>
    </row>
    <row r="53" spans="1:15" x14ac:dyDescent="0.25">
      <c r="A53" s="1">
        <v>41</v>
      </c>
      <c r="B53" s="3" t="s">
        <v>36</v>
      </c>
      <c r="C53" s="3"/>
      <c r="D53" s="3" t="s">
        <v>152</v>
      </c>
      <c r="E53" s="5"/>
      <c r="K53" s="1">
        <v>2</v>
      </c>
      <c r="L53" s="1">
        <v>3</v>
      </c>
      <c r="M53" s="1">
        <v>1</v>
      </c>
      <c r="N53" s="1">
        <v>5</v>
      </c>
      <c r="O53" s="1">
        <f>K53*L53*M53*N53</f>
        <v>30</v>
      </c>
    </row>
    <row r="54" spans="1:15" x14ac:dyDescent="0.25">
      <c r="A54" s="1">
        <v>42</v>
      </c>
      <c r="B54" s="3" t="s">
        <v>37</v>
      </c>
      <c r="C54" s="3"/>
      <c r="D54" s="3" t="s">
        <v>152</v>
      </c>
      <c r="E54" s="5"/>
      <c r="H54" s="10" t="s">
        <v>121</v>
      </c>
      <c r="I54" s="10"/>
      <c r="K54" s="1">
        <v>2</v>
      </c>
      <c r="L54" s="1">
        <v>3</v>
      </c>
      <c r="M54" s="1">
        <v>1</v>
      </c>
      <c r="N54" s="1">
        <v>5</v>
      </c>
      <c r="O54" s="1">
        <f>K54*L54*M54*N54</f>
        <v>30</v>
      </c>
    </row>
    <row r="55" spans="1:15" x14ac:dyDescent="0.25">
      <c r="A55" s="1">
        <v>43</v>
      </c>
      <c r="B55" s="3" t="s">
        <v>38</v>
      </c>
      <c r="C55" s="3"/>
      <c r="D55" s="3" t="s">
        <v>152</v>
      </c>
      <c r="E55" s="5"/>
      <c r="K55" s="1">
        <v>2</v>
      </c>
      <c r="L55" s="1">
        <v>3</v>
      </c>
      <c r="M55" s="1">
        <v>1</v>
      </c>
      <c r="N55" s="1">
        <v>5</v>
      </c>
      <c r="O55" s="1">
        <f>K55*L55*M55*N55</f>
        <v>30</v>
      </c>
    </row>
    <row r="56" spans="1:15" x14ac:dyDescent="0.25">
      <c r="A56" s="1">
        <v>44</v>
      </c>
      <c r="B56" s="3" t="s">
        <v>39</v>
      </c>
      <c r="C56" s="3"/>
      <c r="D56" s="3" t="s">
        <v>152</v>
      </c>
      <c r="E56" s="5"/>
      <c r="K56" s="1">
        <v>2</v>
      </c>
      <c r="L56" s="1">
        <v>3</v>
      </c>
      <c r="M56" s="1">
        <v>1</v>
      </c>
      <c r="N56" s="1">
        <v>5</v>
      </c>
      <c r="O56" s="1">
        <f>K56*L56*M56*N56</f>
        <v>30</v>
      </c>
    </row>
    <row r="57" spans="1:15" ht="30" x14ac:dyDescent="0.25">
      <c r="A57" s="1">
        <v>48</v>
      </c>
      <c r="B57" s="3" t="s">
        <v>43</v>
      </c>
      <c r="C57" s="3"/>
      <c r="D57" s="3" t="s">
        <v>152</v>
      </c>
      <c r="E57" s="5"/>
      <c r="K57" s="1">
        <v>2</v>
      </c>
      <c r="L57" s="1">
        <v>3</v>
      </c>
      <c r="M57" s="1">
        <v>1</v>
      </c>
      <c r="N57" s="1">
        <v>5</v>
      </c>
      <c r="O57" s="1">
        <f>K57*L57*M57*N57</f>
        <v>30</v>
      </c>
    </row>
    <row r="58" spans="1:15" x14ac:dyDescent="0.25">
      <c r="A58" s="1">
        <v>49</v>
      </c>
      <c r="B58" s="3" t="s">
        <v>44</v>
      </c>
      <c r="C58" s="3"/>
      <c r="D58" s="3" t="s">
        <v>152</v>
      </c>
      <c r="E58" s="5"/>
      <c r="K58" s="1">
        <v>2</v>
      </c>
      <c r="L58" s="1">
        <v>3</v>
      </c>
      <c r="M58" s="1">
        <v>1</v>
      </c>
      <c r="N58" s="1">
        <v>5</v>
      </c>
      <c r="O58" s="1">
        <f>K58*L58*M58*N58</f>
        <v>30</v>
      </c>
    </row>
    <row r="59" spans="1:15" x14ac:dyDescent="0.25">
      <c r="A59" s="1">
        <v>4</v>
      </c>
      <c r="B59" s="3" t="s">
        <v>4</v>
      </c>
      <c r="C59" s="3"/>
      <c r="D59" s="3" t="s">
        <v>152</v>
      </c>
      <c r="E59" s="2"/>
      <c r="K59" s="1">
        <v>2</v>
      </c>
      <c r="L59" s="1">
        <v>2</v>
      </c>
      <c r="M59" s="1">
        <v>2</v>
      </c>
      <c r="N59" s="1">
        <v>5</v>
      </c>
      <c r="O59" s="1">
        <f>K59*L59*M59*N59</f>
        <v>40</v>
      </c>
    </row>
    <row r="60" spans="1:15" x14ac:dyDescent="0.25">
      <c r="A60" s="1">
        <v>17</v>
      </c>
      <c r="B60" s="3" t="s">
        <v>15</v>
      </c>
      <c r="C60" s="3"/>
      <c r="D60" s="3" t="s">
        <v>152</v>
      </c>
      <c r="E60" s="2"/>
      <c r="K60" s="1">
        <v>2</v>
      </c>
      <c r="L60" s="1">
        <v>2</v>
      </c>
      <c r="M60" s="1">
        <v>2</v>
      </c>
      <c r="N60" s="1">
        <v>5</v>
      </c>
      <c r="O60" s="1">
        <f>K60*L60*M60*N60</f>
        <v>40</v>
      </c>
    </row>
    <row r="61" spans="1:15" x14ac:dyDescent="0.25">
      <c r="A61" s="1">
        <v>26</v>
      </c>
      <c r="B61" s="3" t="s">
        <v>23</v>
      </c>
      <c r="C61" s="3"/>
      <c r="D61" s="3" t="s">
        <v>152</v>
      </c>
      <c r="E61" s="2"/>
      <c r="K61" s="1">
        <v>2</v>
      </c>
      <c r="L61" s="1">
        <v>2</v>
      </c>
      <c r="M61" s="1">
        <v>2</v>
      </c>
      <c r="N61" s="1">
        <v>5</v>
      </c>
      <c r="O61" s="1">
        <f>K61*L61*M61*N61</f>
        <v>40</v>
      </c>
    </row>
    <row r="62" spans="1:15" x14ac:dyDescent="0.25">
      <c r="A62" s="1">
        <v>37</v>
      </c>
      <c r="B62" s="3" t="s">
        <v>32</v>
      </c>
      <c r="C62" s="3"/>
      <c r="D62" s="3" t="s">
        <v>152</v>
      </c>
      <c r="E62" s="2"/>
      <c r="K62" s="1">
        <v>2</v>
      </c>
      <c r="L62" s="1">
        <v>2</v>
      </c>
      <c r="M62" s="1">
        <v>2</v>
      </c>
      <c r="N62" s="1">
        <v>5</v>
      </c>
      <c r="O62" s="1">
        <f>K62*L62*M62*N62</f>
        <v>40</v>
      </c>
    </row>
    <row r="63" spans="1:15" x14ac:dyDescent="0.25">
      <c r="A63" s="1">
        <v>6</v>
      </c>
      <c r="B63" s="3" t="s">
        <v>6</v>
      </c>
      <c r="C63" s="3"/>
      <c r="D63" s="3" t="s">
        <v>152</v>
      </c>
      <c r="E63" s="5"/>
      <c r="F63" s="1" t="s">
        <v>71</v>
      </c>
      <c r="K63" s="1">
        <v>2</v>
      </c>
      <c r="L63" s="1">
        <v>3</v>
      </c>
      <c r="M63" s="1">
        <v>2</v>
      </c>
      <c r="N63" s="1">
        <v>5</v>
      </c>
      <c r="O63" s="1">
        <f>K63*L63*M63*N63</f>
        <v>60</v>
      </c>
    </row>
    <row r="64" spans="1:15" x14ac:dyDescent="0.25">
      <c r="A64" s="1">
        <v>20</v>
      </c>
      <c r="B64" s="3" t="s">
        <v>18</v>
      </c>
      <c r="C64" s="3"/>
      <c r="D64" s="3" t="s">
        <v>152</v>
      </c>
      <c r="E64" s="5"/>
      <c r="K64" s="1">
        <v>2</v>
      </c>
      <c r="L64" s="1">
        <v>4</v>
      </c>
      <c r="M64" s="1">
        <v>2</v>
      </c>
      <c r="N64" s="1">
        <v>5</v>
      </c>
      <c r="O64" s="1">
        <f>K64*L64*M64*N64</f>
        <v>80</v>
      </c>
    </row>
    <row r="65" spans="1:15" x14ac:dyDescent="0.25">
      <c r="A65" s="1">
        <v>34</v>
      </c>
      <c r="B65" s="4" t="s">
        <v>16</v>
      </c>
      <c r="C65" s="4"/>
      <c r="D65" s="3" t="s">
        <v>152</v>
      </c>
      <c r="E65" s="2"/>
      <c r="J65" s="1" t="s">
        <v>117</v>
      </c>
      <c r="K65" s="1">
        <v>2</v>
      </c>
      <c r="L65" s="1">
        <v>1</v>
      </c>
      <c r="M65" s="1">
        <v>1</v>
      </c>
      <c r="N65" s="1">
        <v>99</v>
      </c>
      <c r="O65" s="1">
        <f>K65*L65*M65*N65</f>
        <v>198</v>
      </c>
    </row>
    <row r="66" spans="1:15" x14ac:dyDescent="0.25">
      <c r="A66" s="1">
        <v>35</v>
      </c>
      <c r="B66" s="4" t="s">
        <v>30</v>
      </c>
      <c r="C66" s="4"/>
      <c r="D66" s="3" t="s">
        <v>152</v>
      </c>
      <c r="E66" s="2"/>
      <c r="J66" s="1" t="s">
        <v>118</v>
      </c>
      <c r="K66" s="1">
        <v>2</v>
      </c>
      <c r="L66" s="1">
        <v>1</v>
      </c>
      <c r="M66" s="1">
        <v>1</v>
      </c>
      <c r="N66" s="1">
        <v>99</v>
      </c>
      <c r="O66" s="1">
        <f>K66*L66*M66*N66</f>
        <v>198</v>
      </c>
    </row>
    <row r="67" spans="1:15" x14ac:dyDescent="0.25">
      <c r="A67" s="6">
        <v>51</v>
      </c>
      <c r="B67" s="4" t="s">
        <v>46</v>
      </c>
      <c r="C67" s="4"/>
      <c r="D67" s="3" t="s">
        <v>152</v>
      </c>
      <c r="E67" s="7"/>
      <c r="F67" s="6"/>
      <c r="G67" s="6"/>
      <c r="H67" s="6"/>
      <c r="I67" s="6"/>
      <c r="J67" s="1" t="s">
        <v>109</v>
      </c>
      <c r="K67" s="1">
        <v>2</v>
      </c>
      <c r="L67" s="6">
        <v>1</v>
      </c>
      <c r="M67" s="6">
        <v>1</v>
      </c>
      <c r="N67" s="6">
        <v>99</v>
      </c>
      <c r="O67" s="6">
        <f>K67*L67*M67*N67</f>
        <v>198</v>
      </c>
    </row>
  </sheetData>
  <autoFilter ref="A1:T61" xr:uid="{074061E7-583E-48EA-BC24-50BAFA208482}">
    <sortState xmlns:xlrd2="http://schemas.microsoft.com/office/spreadsheetml/2017/richdata2" ref="A2:O67">
      <sortCondition ref="C1:C61"/>
    </sortState>
  </autoFilter>
  <phoneticPr fontId="7" type="noConversion"/>
  <conditionalFormatting sqref="L2">
    <cfRule type="colorScale" priority="1">
      <colorScale>
        <cfvo type="num" val="1"/>
        <cfvo type="num" val="2"/>
        <cfvo type="formula" val="&quot;&gt;2&quot;"/>
        <color rgb="FF00B050"/>
        <color rgb="FFFFEB84"/>
        <color rgb="FFFF0000"/>
      </colorScale>
    </cfRule>
  </conditionalFormatting>
  <hyperlinks>
    <hyperlink ref="H11" r:id="rId1" tooltip="otcc2023.ND.001_BriefAnalysis-TapiIetfModelLinkage.pptx" display="https://github.com/Open-Network-Models-and-Interfaces-ONMI/TAPI-Activities/blob/main/ContributionsForDiscussions/otcc2023.ND.001_BriefAnalysis-TapiIetfModelLinkage.pptx" xr:uid="{DC8291FA-BBBC-4164-AFDF-A14D5C37779A}"/>
    <hyperlink ref="H29" r:id="rId2" tooltip="otcc2024.ND.002_SpotlightAndSnapshotStreams.pptx" display="https://github.com/Open-Network-Models-and-Interfaces-ONMI/TAPI-Activities/blob/main/ContributionsForDiscussions/otcc2024.ND.002_SpotlightAndSnapshotStreams.pptx" xr:uid="{DA695823-06F7-4C4D-A0BB-56A71E8AB3AA}"/>
    <hyperlink ref="H54" r:id="rId3" tooltip="otcc2023.ND.007_BasicPhysicalIntent.zip" display="https://github.com/Open-Network-Models-and-Interfaces-ONMI/TAPI-Activities/blob/main/ContributionsForDiscussions/otcc2023.ND.007_BasicPhysicalIntent.zip" xr:uid="{73726784-3406-4A32-9F90-250F1899557B}"/>
    <hyperlink ref="H32" r:id="rId4" tooltip="otcc2020.ND.010_TAPI-ConnectivityServiceComputationService.pptx" display="https://github.com/Open-Network-Models-and-Interfaces-ONMI/TAPI-Activities/blob/main/ContributionsForDiscussions/otcc2020.ND.010_TAPI-ConnectivityServiceComputationService.pptx" xr:uid="{B1E96811-E3AB-4B6A-9B71-389668390DD1}"/>
    <hyperlink ref="H21" r:id="rId5" xr:uid="{39007AE4-376B-4AFF-B690-2B1FD75ED6B2}"/>
    <hyperlink ref="H22" r:id="rId6" xr:uid="{B85E8F47-7893-459C-8DC1-8BC4AA02A23B}"/>
    <hyperlink ref="H23" r:id="rId7" xr:uid="{E38CDBF1-9601-4855-8DFD-AE8A6A3AD6BE}"/>
    <hyperlink ref="H26" r:id="rId8" xr:uid="{D578898C-48FA-4D82-82AF-E6661888BC34}"/>
    <hyperlink ref="H4" r:id="rId9" xr:uid="{09D95B53-BA52-41E5-AAC0-0F3CBDC9FC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Nigel</dc:creator>
  <cp:lastModifiedBy>Davis, Nigel</cp:lastModifiedBy>
  <dcterms:created xsi:type="dcterms:W3CDTF">2025-04-01T10:42:57Z</dcterms:created>
  <dcterms:modified xsi:type="dcterms:W3CDTF">2025-04-29T09:44:17Z</dcterms:modified>
</cp:coreProperties>
</file>